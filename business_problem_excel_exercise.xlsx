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hidePivotFieldList="1"/>
  <xr:revisionPtr revIDLastSave="0" documentId="8_{384CB08B-30A4-4478-BBA6-1E5015B659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siness Problem" sheetId="1" r:id="rId1"/>
    <sheet name="Sales Data" sheetId="2" r:id="rId2"/>
    <sheet name="Exercise" sheetId="3" r:id="rId3"/>
  </sheets>
  <definedNames>
    <definedName name="_xlnm._FilterDatabase" localSheetId="0" hidden="1">'Business Problem'!$B$19:$F$23</definedName>
    <definedName name="_xlnm._FilterDatabase" localSheetId="2" hidden="1">Exercise!$A$18:$E$22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" i="1" l="1"/>
  <c r="C19" i="1"/>
  <c r="D19" i="1"/>
  <c r="E19" i="1"/>
  <c r="F19" i="1"/>
  <c r="B22" i="1"/>
  <c r="B20" i="1"/>
  <c r="B21" i="1"/>
  <c r="B23" i="1"/>
  <c r="B24" i="1"/>
  <c r="G14" i="3"/>
  <c r="H15" i="3"/>
  <c r="G15" i="3"/>
  <c r="F15" i="3"/>
  <c r="E15" i="3"/>
  <c r="I15" i="3" s="1"/>
  <c r="D15" i="3"/>
  <c r="C15" i="3"/>
  <c r="B15" i="3"/>
  <c r="A15" i="3"/>
  <c r="H14" i="3"/>
  <c r="F14" i="3"/>
  <c r="E14" i="3"/>
  <c r="I14" i="3" s="1"/>
  <c r="D14" i="3"/>
  <c r="C14" i="3"/>
  <c r="B14" i="3"/>
  <c r="A14" i="3"/>
  <c r="H13" i="3"/>
  <c r="F13" i="3"/>
  <c r="E13" i="3"/>
  <c r="I13" i="3" s="1"/>
  <c r="D13" i="3"/>
  <c r="C13" i="3"/>
  <c r="B13" i="3"/>
  <c r="A13" i="3"/>
  <c r="H12" i="3"/>
  <c r="G12" i="3"/>
  <c r="F12" i="3"/>
  <c r="E12" i="3"/>
  <c r="I12" i="3" s="1"/>
  <c r="D12" i="3"/>
  <c r="C12" i="3"/>
  <c r="B12" i="3"/>
  <c r="A12" i="3"/>
  <c r="H11" i="3"/>
  <c r="G11" i="3"/>
  <c r="F11" i="3"/>
  <c r="E11" i="3"/>
  <c r="I11" i="3" s="1"/>
  <c r="D11" i="3"/>
  <c r="C11" i="3"/>
  <c r="B11" i="3"/>
  <c r="A11" i="3"/>
  <c r="H10" i="3"/>
  <c r="G10" i="3"/>
  <c r="F10" i="3"/>
  <c r="E10" i="3"/>
  <c r="I10" i="3" s="1"/>
  <c r="D10" i="3"/>
  <c r="C10" i="3"/>
  <c r="B10" i="3"/>
  <c r="A10" i="3"/>
  <c r="H9" i="3"/>
  <c r="G9" i="3"/>
  <c r="F9" i="3"/>
  <c r="E9" i="3"/>
  <c r="I9" i="3" s="1"/>
  <c r="D9" i="3"/>
  <c r="C9" i="3"/>
  <c r="B9" i="3"/>
  <c r="A9" i="3"/>
  <c r="H8" i="3"/>
  <c r="G8" i="3"/>
  <c r="F8" i="3"/>
  <c r="E8" i="3"/>
  <c r="I8" i="3" s="1"/>
  <c r="D8" i="3"/>
  <c r="C8" i="3"/>
  <c r="B8" i="3"/>
  <c r="A8" i="3"/>
  <c r="H7" i="3"/>
  <c r="G7" i="3"/>
  <c r="F7" i="3"/>
  <c r="E7" i="3"/>
  <c r="I7" i="3" s="1"/>
  <c r="D7" i="3"/>
  <c r="C7" i="3"/>
  <c r="B7" i="3"/>
  <c r="A7" i="3"/>
  <c r="H6" i="3"/>
  <c r="G6" i="3"/>
  <c r="F6" i="3"/>
  <c r="E6" i="3"/>
  <c r="I6" i="3" s="1"/>
  <c r="D6" i="3"/>
  <c r="C6" i="3"/>
  <c r="B6" i="3"/>
  <c r="A6" i="3"/>
  <c r="H5" i="3"/>
  <c r="G5" i="3"/>
  <c r="F5" i="3"/>
  <c r="E5" i="3"/>
  <c r="I5" i="3" s="1"/>
  <c r="D5" i="3"/>
  <c r="C5" i="3"/>
  <c r="B5" i="3"/>
  <c r="A5" i="3"/>
  <c r="H4" i="3"/>
  <c r="F4" i="3"/>
  <c r="E4" i="3"/>
  <c r="I4" i="3" s="1"/>
  <c r="D4" i="3"/>
  <c r="C4" i="3"/>
  <c r="B4" i="3"/>
  <c r="A4" i="3"/>
  <c r="G13" i="3" l="1"/>
  <c r="J13" i="3" s="1"/>
  <c r="K13" i="3" s="1"/>
  <c r="L13" i="3" s="1"/>
  <c r="M13" i="3" s="1"/>
  <c r="G4" i="3"/>
  <c r="J4" i="3" s="1"/>
  <c r="K4" i="3" s="1"/>
  <c r="L4" i="3" s="1"/>
  <c r="J15" i="3"/>
  <c r="K15" i="3" s="1"/>
  <c r="L15" i="3" s="1"/>
  <c r="M15" i="3" s="1"/>
  <c r="J5" i="3"/>
  <c r="K5" i="3" s="1"/>
  <c r="L5" i="3" s="1"/>
  <c r="M5" i="3" s="1"/>
  <c r="J8" i="3"/>
  <c r="K8" i="3" s="1"/>
  <c r="L8" i="3" s="1"/>
  <c r="M8" i="3" s="1"/>
  <c r="J11" i="3"/>
  <c r="K11" i="3" s="1"/>
  <c r="L11" i="3" s="1"/>
  <c r="M11" i="3" s="1"/>
  <c r="J14" i="3"/>
  <c r="K14" i="3" s="1"/>
  <c r="L14" i="3" s="1"/>
  <c r="M14" i="3" s="1"/>
  <c r="J6" i="3"/>
  <c r="K6" i="3" s="1"/>
  <c r="L6" i="3" s="1"/>
  <c r="M6" i="3" s="1"/>
  <c r="J12" i="3"/>
  <c r="K12" i="3" s="1"/>
  <c r="L12" i="3" s="1"/>
  <c r="M12" i="3" s="1"/>
  <c r="J9" i="3"/>
  <c r="K9" i="3" s="1"/>
  <c r="L9" i="3" s="1"/>
  <c r="M9" i="3" s="1"/>
  <c r="J7" i="3"/>
  <c r="K7" i="3" s="1"/>
  <c r="B20" i="3"/>
  <c r="C20" i="1" s="1"/>
  <c r="J10" i="3"/>
  <c r="K10" i="3" s="1"/>
  <c r="E22" i="3" l="1"/>
  <c r="F23" i="1" s="1"/>
  <c r="B22" i="3"/>
  <c r="C23" i="1" s="1"/>
  <c r="D19" i="3"/>
  <c r="E22" i="1" s="1"/>
  <c r="M4" i="3"/>
  <c r="E19" i="3" s="1"/>
  <c r="F22" i="1" s="1"/>
  <c r="C19" i="3"/>
  <c r="D22" i="1" s="1"/>
  <c r="D22" i="3"/>
  <c r="E23" i="1" s="1"/>
  <c r="B19" i="3"/>
  <c r="C22" i="1" s="1"/>
  <c r="L7" i="3"/>
  <c r="C20" i="3"/>
  <c r="D20" i="1" s="1"/>
  <c r="L10" i="3"/>
  <c r="C21" i="3"/>
  <c r="D21" i="1" s="1"/>
  <c r="B21" i="3"/>
  <c r="C22" i="3"/>
  <c r="D23" i="1" s="1"/>
  <c r="B24" i="3" l="1"/>
  <c r="C24" i="1" s="1"/>
  <c r="C21" i="1"/>
  <c r="I19" i="3"/>
  <c r="C24" i="3"/>
  <c r="D24" i="1" s="1"/>
  <c r="M10" i="3"/>
  <c r="E21" i="3" s="1"/>
  <c r="F21" i="1" s="1"/>
  <c r="D21" i="3"/>
  <c r="E21" i="1" s="1"/>
  <c r="M7" i="3"/>
  <c r="E20" i="3" s="1"/>
  <c r="F20" i="1" s="1"/>
  <c r="D20" i="3"/>
  <c r="E20" i="1" s="1"/>
  <c r="I21" i="3" l="1"/>
  <c r="I22" i="3"/>
  <c r="I20" i="3"/>
  <c r="E24" i="3"/>
  <c r="F24" i="1" s="1"/>
  <c r="D24" i="3"/>
  <c r="E24" i="1" s="1"/>
</calcChain>
</file>

<file path=xl/sharedStrings.xml><?xml version="1.0" encoding="utf-8"?>
<sst xmlns="http://schemas.openxmlformats.org/spreadsheetml/2006/main" count="180" uniqueCount="92">
  <si>
    <t>Business Problem Exercise: Retail Sales Review</t>
  </si>
  <si>
    <t>Scenario: A regional retail manager needs to clean a small sales workbook, calculate performance metrics, identify risky orders, and prepare a print-ready summary for leadership.</t>
  </si>
  <si>
    <t>Task</t>
  </si>
  <si>
    <t>What to practice</t>
  </si>
  <si>
    <t>1</t>
  </si>
  <si>
    <t>Format the sales table with readable headers, currency, percentages, and dates.</t>
  </si>
  <si>
    <t>2</t>
  </si>
  <si>
    <t>Use Find &amp; Replace to change region name 'West-Coast' to 'West'.</t>
  </si>
  <si>
    <t>3</t>
  </si>
  <si>
    <t>Use XLOOKUP/VLOOKUP to return each product category from the lookup table.</t>
  </si>
  <si>
    <t>4</t>
  </si>
  <si>
    <t>Calculate revenue, cost, profit, and profit margin.</t>
  </si>
  <si>
    <t>5</t>
  </si>
  <si>
    <t>Use IF to assign a review status: Review when profit margin is below 20%, otherwise OK.</t>
  </si>
  <si>
    <t>6</t>
  </si>
  <si>
    <t>Use SUMIF/COUNTIF to summarize revenue, profit, and review counts by region.</t>
  </si>
  <si>
    <t>7</t>
  </si>
  <si>
    <t>Preview the workbook before printing and adjust orientation/scaling if needed.</t>
  </si>
  <si>
    <t>Business question: Which region is generating the most revenue, and which orders need manager review because profit margin is too low?</t>
  </si>
  <si>
    <t>Order ID</t>
  </si>
  <si>
    <t>Order Date</t>
  </si>
  <si>
    <t>Region</t>
  </si>
  <si>
    <t>Rep</t>
  </si>
  <si>
    <t>Product</t>
  </si>
  <si>
    <t>Units</t>
  </si>
  <si>
    <t>Unit Price</t>
  </si>
  <si>
    <t>Unit Cost</t>
  </si>
  <si>
    <t>Category</t>
  </si>
  <si>
    <t>SO-1001</t>
  </si>
  <si>
    <t>East</t>
  </si>
  <si>
    <t>A. Patel</t>
  </si>
  <si>
    <t>Laptop Stand</t>
  </si>
  <si>
    <t>Accessories</t>
  </si>
  <si>
    <t>SO-1002</t>
  </si>
  <si>
    <t>M. Chen</t>
  </si>
  <si>
    <t>Wireless Mouse</t>
  </si>
  <si>
    <t>SO-1003</t>
  </si>
  <si>
    <t>South</t>
  </si>
  <si>
    <t>J. Rivera</t>
  </si>
  <si>
    <t>USB-C Hub</t>
  </si>
  <si>
    <t>Connectivity</t>
  </si>
  <si>
    <t>SO-1004</t>
  </si>
  <si>
    <t>North</t>
  </si>
  <si>
    <t>S. Brooks</t>
  </si>
  <si>
    <t>Monitor Arm</t>
  </si>
  <si>
    <t>Furniture</t>
  </si>
  <si>
    <t>SO-1005</t>
  </si>
  <si>
    <t>Keyboard</t>
  </si>
  <si>
    <t>SO-1006</t>
  </si>
  <si>
    <t>Webcam</t>
  </si>
  <si>
    <t>Video</t>
  </si>
  <si>
    <t>SO-1007</t>
  </si>
  <si>
    <t>Docking Station</t>
  </si>
  <si>
    <t>SO-1008</t>
  </si>
  <si>
    <t>SO-1009</t>
  </si>
  <si>
    <t>SO-1010</t>
  </si>
  <si>
    <t>SO-1011</t>
  </si>
  <si>
    <t>SO-1012</t>
  </si>
  <si>
    <t>Complete the Formula Columns</t>
  </si>
  <si>
    <t>Revenue</t>
  </si>
  <si>
    <t>Profit</t>
  </si>
  <si>
    <t>Margin</t>
  </si>
  <si>
    <t>Formula help</t>
  </si>
  <si>
    <t>Example</t>
  </si>
  <si>
    <t>=XLOOKUP(E4,'Sales Data'!$J$2:$J$8,'Sales Data'!$K$2:$K$8)</t>
  </si>
  <si>
    <t>=F4*G4</t>
  </si>
  <si>
    <t>=J4-(F4*H4)</t>
  </si>
  <si>
    <t>=K4/J4</t>
  </si>
  <si>
    <t>Status</t>
  </si>
  <si>
    <t>=IF(L4&lt;20%,"Review","OK")</t>
  </si>
  <si>
    <t>Region Summary</t>
  </si>
  <si>
    <t>Avg Margin</t>
  </si>
  <si>
    <t>Review Orders</t>
  </si>
  <si>
    <t>West</t>
  </si>
  <si>
    <t>Total</t>
  </si>
  <si>
    <t>KPI</t>
  </si>
  <si>
    <t>Orders to review</t>
  </si>
  <si>
    <t>Cost</t>
  </si>
  <si>
    <t>Profit  Margin</t>
  </si>
  <si>
    <t>Grand Total</t>
  </si>
  <si>
    <t>Excellent</t>
  </si>
  <si>
    <t>Good</t>
  </si>
  <si>
    <t>Output</t>
  </si>
  <si>
    <t>Top Revenuer Region</t>
  </si>
  <si>
    <t>Highest Margin Region</t>
  </si>
  <si>
    <t>Highest Margin</t>
  </si>
  <si>
    <t>Solution</t>
  </si>
  <si>
    <t>Total  Revenue</t>
  </si>
  <si>
    <t xml:space="preserve"> Revenue</t>
  </si>
  <si>
    <t>Total  Profit</t>
  </si>
  <si>
    <t xml:space="preserve"> Profit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</si>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</sst>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\$#,##0.00"/>
    <numFmt numFmtId="166" formatCode="\$#,##0"/>
    <numFmt numFmtId="167" formatCode="0.0%"/>
    <numFmt numFmtId="168" formatCode="_ [$₹-4009]\ * #,##0.00_ ;_ [$₹-4009]\ * \-#,##0.00_ ;_ [$₹-4009]\ * &quot;-&quot;??_ ;_ @_ "/>
  </numFmts>
  <fonts count="14">
    <font>
      <sz val="11"/>
      <name val="Carlito"/>
    </font>
    <font>
      <sz val="10"/>
      <color rgb="FF1F2937"/>
      <name val="Aptos"/>
    </font>
    <font>
      <b/>
      <sz val="14"/>
      <color rgb="FFFFFFFF"/>
      <name val="Aptos"/>
    </font>
    <font>
      <b/>
      <sz val="10"/>
      <color rgb="FFFFFFFF"/>
      <name val="Aptos"/>
    </font>
    <font>
      <b/>
      <sz val="16"/>
      <color rgb="FFFFFFFF"/>
      <name val="Aptos"/>
    </font>
    <font>
      <b/>
      <sz val="16"/>
      <color rgb="FFFFFFFF"/>
      <name val="Carlito"/>
    </font>
    <font>
      <sz val="10"/>
      <color rgb="FF134E4A"/>
      <name val="Aptos"/>
    </font>
    <font>
      <sz val="11"/>
      <color rgb="FF134E4A"/>
      <name val="Carlito"/>
    </font>
    <font>
      <b/>
      <sz val="10"/>
      <color rgb="FF78350F"/>
      <name val="Aptos"/>
    </font>
    <font>
      <b/>
      <sz val="11"/>
      <color rgb="FF78350F"/>
      <name val="Carlito"/>
    </font>
    <font>
      <sz val="9"/>
      <color rgb="FF1F2937"/>
      <name val="Consolas"/>
    </font>
    <font>
      <b/>
      <sz val="12"/>
      <color rgb="FFFFFFFF"/>
      <name val="Aptos"/>
      <family val="2"/>
    </font>
    <font>
      <b/>
      <sz val="12"/>
      <color rgb="FFFFFFFF"/>
      <name val="Aptos"/>
    </font>
    <font>
      <sz val="10"/>
      <color rgb="FF1F2937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174E4A"/>
      </patternFill>
    </fill>
    <fill>
      <patternFill patternType="solid">
        <fgColor rgb="FFE0F2F1"/>
      </patternFill>
    </fill>
    <fill>
      <patternFill patternType="solid">
        <fgColor rgb="FFFEF3C7"/>
      </patternFill>
    </fill>
    <fill>
      <patternFill patternType="solid">
        <fgColor rgb="FFFFF7ED"/>
      </patternFill>
    </fill>
    <fill>
      <patternFill patternType="solid">
        <fgColor theme="4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rgb="FFCBD5E1"/>
      </left>
      <right/>
      <top style="thin">
        <color rgb="FFCBD5E1"/>
      </top>
      <bottom/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/>
      <top/>
      <bottom/>
      <diagonal/>
    </border>
    <border>
      <left/>
      <right style="thin">
        <color rgb="FFCBD5E1"/>
      </right>
      <top/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 style="thin">
        <color rgb="FFFED7AA"/>
      </left>
      <right style="thin">
        <color rgb="FFFED7AA"/>
      </right>
      <top style="thin">
        <color rgb="FFFED7AA"/>
      </top>
      <bottom style="thin">
        <color rgb="FFFED7AA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mediumDashed">
        <color theme="4" tint="-0.24994659260841701"/>
      </left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1" xfId="0" applyFont="1" applyFill="1" applyBorder="1"/>
    <xf numFmtId="0" fontId="3" fillId="3" borderId="2" xfId="0" applyFont="1" applyFill="1" applyBorder="1"/>
    <xf numFmtId="0" fontId="1" fillId="0" borderId="4" xfId="0" applyFont="1" applyBorder="1"/>
    <xf numFmtId="0" fontId="0" fillId="0" borderId="5" xfId="0" applyBorder="1"/>
    <xf numFmtId="164" fontId="1" fillId="0" borderId="0" xfId="0" applyNumberFormat="1" applyFont="1"/>
    <xf numFmtId="165" fontId="1" fillId="0" borderId="0" xfId="0" applyNumberFormat="1" applyFont="1"/>
    <xf numFmtId="0" fontId="3" fillId="3" borderId="3" xfId="0" applyFont="1" applyFill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164" fontId="1" fillId="0" borderId="7" xfId="0" applyNumberFormat="1" applyFont="1" applyBorder="1"/>
    <xf numFmtId="165" fontId="1" fillId="0" borderId="7" xfId="0" applyNumberFormat="1" applyFont="1" applyBorder="1"/>
    <xf numFmtId="166" fontId="1" fillId="0" borderId="0" xfId="0" applyNumberFormat="1" applyFont="1"/>
    <xf numFmtId="166" fontId="1" fillId="0" borderId="7" xfId="0" applyNumberFormat="1" applyFont="1" applyBorder="1"/>
    <xf numFmtId="167" fontId="1" fillId="0" borderId="0" xfId="0" applyNumberFormat="1" applyFont="1"/>
    <xf numFmtId="0" fontId="1" fillId="6" borderId="9" xfId="0" applyFont="1" applyFill="1" applyBorder="1"/>
    <xf numFmtId="166" fontId="1" fillId="6" borderId="9" xfId="0" applyNumberFormat="1" applyFont="1" applyFill="1" applyBorder="1"/>
    <xf numFmtId="167" fontId="1" fillId="6" borderId="9" xfId="0" applyNumberFormat="1" applyFont="1" applyFill="1" applyBorder="1"/>
    <xf numFmtId="0" fontId="10" fillId="0" borderId="5" xfId="0" applyFont="1" applyBorder="1"/>
    <xf numFmtId="0" fontId="10" fillId="0" borderId="8" xfId="0" applyFont="1" applyBorder="1"/>
    <xf numFmtId="168" fontId="1" fillId="0" borderId="0" xfId="0" applyNumberFormat="1" applyFont="1"/>
    <xf numFmtId="14" fontId="1" fillId="0" borderId="0" xfId="0" applyNumberFormat="1" applyFont="1"/>
    <xf numFmtId="0" fontId="11" fillId="7" borderId="0" xfId="0" applyFont="1" applyFill="1"/>
    <xf numFmtId="0" fontId="12" fillId="7" borderId="0" xfId="0" applyFont="1" applyFill="1"/>
    <xf numFmtId="9" fontId="1" fillId="0" borderId="0" xfId="0" applyNumberFormat="1" applyFont="1"/>
    <xf numFmtId="0" fontId="0" fillId="0" borderId="0" xfId="0" pivotButton="1"/>
    <xf numFmtId="168" fontId="0" fillId="0" borderId="0" xfId="0" applyNumberFormat="1"/>
    <xf numFmtId="0" fontId="13" fillId="0" borderId="0" xfId="0" applyFont="1"/>
    <xf numFmtId="0" fontId="3" fillId="3" borderId="10" xfId="0" applyFont="1" applyFill="1" applyBorder="1"/>
    <xf numFmtId="0" fontId="1" fillId="0" borderId="10" xfId="0" applyFont="1" applyBorder="1"/>
    <xf numFmtId="166" fontId="1" fillId="0" borderId="10" xfId="0" applyNumberFormat="1" applyFont="1" applyBorder="1"/>
    <xf numFmtId="167" fontId="1" fillId="0" borderId="10" xfId="0" applyNumberFormat="1" applyFont="1" applyBorder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Continuous"/>
    </xf>
    <xf numFmtId="0" fontId="0" fillId="0" borderId="11" xfId="0" applyBorder="1"/>
    <xf numFmtId="0" fontId="0" fillId="0" borderId="11" xfId="0" applyBorder="1" applyAlignment="1">
      <alignment horizontal="centerContinuous"/>
    </xf>
    <xf numFmtId="168" fontId="0" fillId="0" borderId="11" xfId="0" applyNumberFormat="1" applyBorder="1"/>
    <xf numFmtId="0" fontId="0" fillId="0" borderId="0" xfId="0" pivotButton="1" applyAlignment="1">
      <alignment horizontal="centerContinuous"/>
    </xf>
    <xf numFmtId="0" fontId="4" fillId="2" borderId="0" xfId="0" applyFont="1" applyFill="1"/>
    <xf numFmtId="0" fontId="5" fillId="2" borderId="0" xfId="0" applyFont="1" applyFill="1"/>
    <xf numFmtId="0" fontId="6" fillId="4" borderId="0" xfId="0" applyFont="1" applyFill="1" applyAlignment="1">
      <alignment wrapText="1"/>
    </xf>
    <xf numFmtId="0" fontId="7" fillId="4" borderId="0" xfId="0" applyFont="1" applyFill="1" applyAlignment="1">
      <alignment wrapText="1"/>
    </xf>
    <xf numFmtId="0" fontId="8" fillId="5" borderId="0" xfId="0" applyFont="1" applyFill="1" applyAlignment="1">
      <alignment wrapText="1"/>
    </xf>
    <xf numFmtId="0" fontId="9" fillId="5" borderId="0" xfId="0" applyFont="1" applyFill="1" applyAlignment="1">
      <alignment wrapText="1"/>
    </xf>
    <xf numFmtId="0" fontId="2" fillId="2" borderId="0" xfId="0" applyFont="1" applyFill="1"/>
  </cellXfs>
  <cellStyles count="1">
    <cellStyle name="Normal" xfId="0" builtinId="0"/>
  </cellStyles>
  <dxfs count="22">
    <dxf>
      <fill>
        <patternFill>
          <bgColor rgb="FFF85706"/>
        </patternFill>
      </fill>
    </dxf>
    <dxf>
      <font>
        <b val="0"/>
        <i val="0"/>
        <color rgb="FFFF0000"/>
      </font>
      <fill>
        <patternFill>
          <bgColor rgb="FFFFC1C1"/>
        </patternFill>
      </fill>
    </dxf>
    <dxf>
      <font>
        <strike val="0"/>
        <outline val="0"/>
        <shadow val="0"/>
        <u val="none"/>
        <vertAlign val="baseline"/>
        <sz val="12"/>
      </font>
      <fill>
        <patternFill>
          <fgColor indexed="64"/>
          <bgColor theme="4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numFmt numFmtId="168" formatCode="_ [$₹-4009]\ * #,##0.00_ ;_ [$₹-4009]\ * \-#,##0.00_ ;_ [$₹-4009]\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numFmt numFmtId="168" formatCode="_ [$₹-4009]\ * #,##0.00_ ;_ [$₹-4009]\ * \-#,##0.00_ ;_ [$₹-4009]\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numFmt numFmtId="168" formatCode="_ [$₹-4009]\ * #,##0.00_ ;_ [$₹-4009]\ * \-#,##0.00_ ;_ [$₹-4009]\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numFmt numFmtId="168" formatCode="_ [$₹-4009]\ * #,##0.00_ ;_ [$₹-4009]\ * \-#,##0.00_ ;_ [$₹-4009]\ * &quot;-&quot;??_ ;_ @_ "/>
    </dxf>
    <dxf>
      <numFmt numFmtId="168" formatCode="_ [$₹-4009]\ * #,##0.00_ ;_ [$₹-4009]\ * \-#,##0.00_ ;_ [$₹-4009]\ * &quot;-&quot;??_ ;_ @_ "/>
    </dxf>
    <dxf>
      <numFmt numFmtId="168" formatCode="_ [$₹-4009]\ * #,##0.00_ ;_ [$₹-4009]\ * \-#,##0.00_ ;_ [$₹-4009]\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numFmt numFmtId="0" formatCode="General"/>
    </dxf>
    <dxf>
      <numFmt numFmtId="19" formatCode="dd/mm/yyyy"/>
    </dxf>
    <dxf>
      <font>
        <strike val="0"/>
        <outline val="0"/>
        <shadow val="0"/>
        <u val="none"/>
        <vertAlign val="baseline"/>
        <sz val="12"/>
        <color rgb="FFFFFFFF"/>
        <name val="Aptos"/>
        <scheme val="none"/>
      </font>
      <fill>
        <patternFill patternType="solid">
          <fgColor indexed="64"/>
          <bgColor theme="4" tint="-0.249977111117893"/>
        </patternFill>
      </fill>
    </dxf>
    <dxf>
      <alignment horizontal="centerContinuous"/>
    </dxf>
    <dxf>
      <alignment horizontal="center"/>
    </dxf>
    <dxf>
      <alignment horizontal="center"/>
    </dxf>
    <dxf>
      <border>
        <left style="mediumDashed">
          <color theme="4" tint="-0.24994659260841701"/>
        </left>
      </border>
    </dxf>
    <dxf>
      <border>
        <left style="mediumDashed">
          <color theme="4" tint="-0.24994659260841701"/>
        </left>
      </border>
    </dxf>
    <dxf>
      <border>
        <left style="mediumDashed">
          <color theme="4" tint="-0.24994659260841701"/>
        </left>
      </border>
    </dxf>
    <dxf>
      <border>
        <left style="mediumDashed">
          <color theme="4" tint="-0.24994659260841701"/>
        </left>
      </border>
    </dxf>
    <dxf>
      <alignment horizontal="centerContinuous"/>
    </dxf>
    <dxf>
      <alignment horizontal="centerContinuous"/>
    </dxf>
  </dxfs>
  <tableStyles count="0" defaultTableStyle="TableStyleMedium2" defaultPivotStyle="PivotStyleLight16"/>
  <colors>
    <mruColors>
      <color rgb="FFFFC1C1"/>
      <color rgb="FFFF5D5D"/>
      <color rgb="FFF8570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249.911907060188" createdVersion="8" refreshedVersion="8" minRefreshableVersion="3" recordCount="12" xr:uid="{3749595F-8A0A-45A8-982D-5DDF06F26754}">
  <cacheSource type="worksheet">
    <worksheetSource name="SalesDataTable"/>
  </cacheSource>
  <cacheFields count="14">
    <cacheField name="Order ID" numFmtId="0">
      <sharedItems/>
    </cacheField>
    <cacheField name="Order Date" numFmtId="14">
      <sharedItems containsSemiMixedTypes="0" containsNonDate="0" containsDate="1" containsString="0" minDate="2026-01-05T00:00:00" maxDate="2026-01-31T00:00:00"/>
    </cacheField>
    <cacheField name="Region" numFmtId="0">
      <sharedItems count="4">
        <s v="East"/>
        <s v="West"/>
        <s v="South"/>
        <s v="North"/>
      </sharedItems>
    </cacheField>
    <cacheField name="Rep" numFmtId="0">
      <sharedItems/>
    </cacheField>
    <cacheField name="Product" numFmtId="0">
      <sharedItems/>
    </cacheField>
    <cacheField name="Category" numFmtId="0">
      <sharedItems/>
    </cacheField>
    <cacheField name="Units" numFmtId="0">
      <sharedItems containsSemiMixedTypes="0" containsString="0" containsNumber="1" containsInteger="1" minValue="8" maxValue="55"/>
    </cacheField>
    <cacheField name="Unit Price" numFmtId="168">
      <sharedItems containsSemiMixedTypes="0" containsString="0" containsNumber="1" containsInteger="1" minValue="25" maxValue="145"/>
    </cacheField>
    <cacheField name="Unit Cost" numFmtId="168">
      <sharedItems containsSemiMixedTypes="0" containsString="0" containsNumber="1" containsInteger="1" minValue="15" maxValue="118"/>
    </cacheField>
    <cacheField name="Revenue" numFmtId="168">
      <sharedItems containsSemiMixedTypes="0" containsString="0" containsNumber="1" containsInteger="1" minValue="756" maxValue="1740"/>
    </cacheField>
    <cacheField name="Cost" numFmtId="168">
      <sharedItems containsSemiMixedTypes="0" containsString="0" containsNumber="1" containsInteger="1" minValue="432" maxValue="1170"/>
    </cacheField>
    <cacheField name="Profit" numFmtId="168">
      <sharedItems containsSemiMixedTypes="0" containsString="0" containsNumber="1" containsInteger="1" minValue="216" maxValue="570"/>
    </cacheField>
    <cacheField name="Profit  Margin" numFmtId="9">
      <sharedItems containsSemiMixedTypes="0" containsString="0" containsNumber="1" minValue="0.18620689655172415" maxValue="0.42857142857142855"/>
    </cacheField>
    <cacheField name="Status" numFmtId="168">
      <sharedItems count="2">
        <s v="Excellent"/>
        <s v="Goo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SO-1001"/>
    <d v="2026-01-05T00:00:00"/>
    <x v="0"/>
    <s v="A. Patel"/>
    <s v="Laptop Stand"/>
    <s v="Accessories"/>
    <n v="18"/>
    <n v="42"/>
    <n v="24"/>
    <n v="756"/>
    <n v="432"/>
    <n v="324"/>
    <n v="0.42857142857142855"/>
    <x v="0"/>
  </r>
  <r>
    <s v="SO-1002"/>
    <d v="2026-01-07T00:00:00"/>
    <x v="1"/>
    <s v="M. Chen"/>
    <s v="Wireless Mouse"/>
    <s v="Accessories"/>
    <n v="40"/>
    <n v="25"/>
    <n v="15"/>
    <n v="1000"/>
    <n v="600"/>
    <n v="400"/>
    <n v="0.4"/>
    <x v="0"/>
  </r>
  <r>
    <s v="SO-1003"/>
    <d v="2026-01-09T00:00:00"/>
    <x v="2"/>
    <s v="J. Rivera"/>
    <s v="USB-C Hub"/>
    <s v="Connectivity"/>
    <n v="22"/>
    <n v="58"/>
    <n v="39"/>
    <n v="1276"/>
    <n v="858"/>
    <n v="418"/>
    <n v="0.32758620689655171"/>
    <x v="0"/>
  </r>
  <r>
    <s v="SO-1004"/>
    <d v="2026-01-12T00:00:00"/>
    <x v="3"/>
    <s v="S. Brooks"/>
    <s v="Monitor Arm"/>
    <s v="Furniture"/>
    <n v="12"/>
    <n v="95"/>
    <n v="68"/>
    <n v="1140"/>
    <n v="816"/>
    <n v="324"/>
    <n v="0.28421052631578947"/>
    <x v="0"/>
  </r>
  <r>
    <s v="SO-1005"/>
    <d v="2026-01-14T00:00:00"/>
    <x v="0"/>
    <s v="A. Patel"/>
    <s v="Keyboard"/>
    <s v="Accessories"/>
    <n v="35"/>
    <n v="38"/>
    <n v="25"/>
    <n v="1330"/>
    <n v="875"/>
    <n v="455"/>
    <n v="0.34210526315789475"/>
    <x v="0"/>
  </r>
  <r>
    <s v="SO-1006"/>
    <d v="2026-01-16T00:00:00"/>
    <x v="1"/>
    <s v="M. Chen"/>
    <s v="Webcam"/>
    <s v="Video"/>
    <n v="15"/>
    <n v="74"/>
    <n v="51"/>
    <n v="1110"/>
    <n v="765"/>
    <n v="345"/>
    <n v="0.3108108108108108"/>
    <x v="0"/>
  </r>
  <r>
    <s v="SO-1007"/>
    <d v="2026-01-18T00:00:00"/>
    <x v="2"/>
    <s v="J. Rivera"/>
    <s v="Docking Station"/>
    <s v="Connectivity"/>
    <n v="8"/>
    <n v="145"/>
    <n v="118"/>
    <n v="1160"/>
    <n v="944"/>
    <n v="216"/>
    <n v="0.18620689655172415"/>
    <x v="1"/>
  </r>
  <r>
    <s v="SO-1008"/>
    <d v="2026-01-21T00:00:00"/>
    <x v="3"/>
    <s v="S. Brooks"/>
    <s v="Wireless Mouse"/>
    <s v="Accessories"/>
    <n v="55"/>
    <n v="25"/>
    <n v="15"/>
    <n v="1375"/>
    <n v="825"/>
    <n v="550"/>
    <n v="0.4"/>
    <x v="0"/>
  </r>
  <r>
    <s v="SO-1009"/>
    <d v="2026-01-23T00:00:00"/>
    <x v="0"/>
    <s v="A. Patel"/>
    <s v="USB-C Hub"/>
    <s v="Connectivity"/>
    <n v="30"/>
    <n v="58"/>
    <n v="39"/>
    <n v="1740"/>
    <n v="1170"/>
    <n v="570"/>
    <n v="0.32758620689655171"/>
    <x v="0"/>
  </r>
  <r>
    <s v="SO-1010"/>
    <d v="2026-01-25T00:00:00"/>
    <x v="1"/>
    <s v="M. Chen"/>
    <s v="Monitor Arm"/>
    <s v="Furniture"/>
    <n v="10"/>
    <n v="95"/>
    <n v="68"/>
    <n v="950"/>
    <n v="680"/>
    <n v="270"/>
    <n v="0.28421052631578947"/>
    <x v="0"/>
  </r>
  <r>
    <s v="SO-1011"/>
    <d v="2026-01-27T00:00:00"/>
    <x v="2"/>
    <s v="J. Rivera"/>
    <s v="Laptop Stand"/>
    <s v="Accessories"/>
    <n v="25"/>
    <n v="42"/>
    <n v="24"/>
    <n v="1050"/>
    <n v="600"/>
    <n v="450"/>
    <n v="0.42857142857142855"/>
    <x v="0"/>
  </r>
  <r>
    <s v="SO-1012"/>
    <d v="2026-01-30T00:00:00"/>
    <x v="3"/>
    <s v="S. Brooks"/>
    <s v="Webcam"/>
    <s v="Video"/>
    <n v="14"/>
    <n v="74"/>
    <n v="51"/>
    <n v="1036"/>
    <n v="714"/>
    <n v="322"/>
    <n v="0.3108108108108108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4E3EA2-2DD6-45F7-A039-0AB8E4757395}" name="PivotTable2" cacheId="0" applyNumberFormats="0" applyBorderFormats="0" applyFontFormats="0" applyPatternFormats="0" applyAlignmentFormats="0" applyWidthHeightFormats="1" dataCaption=" " errorCaption="0" showError="1" missingCaption="0" updatedVersion="8" minRefreshableVersion="3" useAutoFormatting="1" itemPrintTitles="1" createdVersion="8" indent="0" compact="0" compactData="0" multipleFieldFilters="0" rowHeaderCaption="Regions" colHeaderCaption="">
  <location ref="F17:L24" firstHeaderRow="1" firstDataRow="3" firstDataCol="1"/>
  <pivotFields count="14">
    <pivotField compact="0" outline="0" showAll="0"/>
    <pivotField compact="0" numFmtId="14" outline="0" showAll="0"/>
    <pivotField axis="axisRow" compact="0" outline="0" showAll="0">
      <items count="5">
        <item x="0"/>
        <item x="3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68" outline="0" showAll="0"/>
    <pivotField compact="0" numFmtId="168" outline="0" showAll="0"/>
    <pivotField dataField="1" compact="0" numFmtId="168" outline="0" showAll="0"/>
    <pivotField compact="0" numFmtId="168" outline="0" showAll="0"/>
    <pivotField dataField="1" compact="0" numFmtId="168" outline="0" showAll="0"/>
    <pivotField compact="0" numFmtId="9" outline="0" showAll="0"/>
    <pivotField axis="axisCol" compact="0" outline="0" showAll="0">
      <items count="3">
        <item x="0"/>
        <item x="1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2">
    <field x="13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 Revenue" fld="9" baseField="0" baseItem="0" numFmtId="168"/>
    <dataField name=" Profit" fld="11" baseField="0" baseItem="0" numFmtId="168"/>
  </dataFields>
  <formats count="9">
    <format dxfId="21">
      <pivotArea dataOnly="0" labelOnly="1" outline="0" fieldPosition="0">
        <references count="1">
          <reference field="13" count="1">
            <x v="1"/>
          </reference>
        </references>
      </pivotArea>
    </format>
    <format dxfId="20">
      <pivotArea dataOnly="0" labelOnly="1" outline="0" fieldPosition="0">
        <references count="1">
          <reference field="13" count="1">
            <x v="0"/>
          </reference>
        </references>
      </pivotArea>
    </format>
    <format dxfId="19">
      <pivotArea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format>
    <format dxfId="18">
      <pivotArea type="topRight" dataOnly="0" labelOnly="1" outline="0" offset="A1" fieldPosition="0"/>
    </format>
    <format dxfId="17">
      <pivotArea dataOnly="0" labelOnly="1" outline="0" offset="A256" fieldPosition="0">
        <references count="1">
          <reference field="13" count="1">
            <x v="1"/>
          </reference>
        </references>
      </pivotArea>
    </format>
    <format dxfId="16">
      <pivotArea dataOnly="0" labelOnly="1" outline="0" fieldPosition="0">
        <references count="2">
          <reference field="4294967294" count="1">
            <x v="0"/>
          </reference>
          <reference field="13" count="1" selected="0">
            <x v="1"/>
          </reference>
        </references>
      </pivotArea>
    </format>
    <format dxfId="15">
      <pivotArea field="13" type="button" dataOnly="0" labelOnly="1" outline="0" axis="axisCol" fieldPosition="0"/>
    </format>
    <format dxfId="14">
      <pivotArea field="-2" type="button" dataOnly="0" labelOnly="1" outline="0" axis="axisCol" fieldPosition="1"/>
    </format>
    <format dxfId="13">
      <pivotArea field="13" type="button" dataOnly="0" labelOnly="1" outline="0" axis="axisCol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DataTable" displayName="SalesDataTable" ref="A1:N13" totalsRowShown="0" headerRowDxfId="12">
  <tableColumns count="14">
    <tableColumn id="1" xr3:uid="{00000000-0010-0000-0000-000001000000}" name="Order ID"/>
    <tableColumn id="2" xr3:uid="{00000000-0010-0000-0000-000002000000}" name="Order Date" dataDxfId="11"/>
    <tableColumn id="3" xr3:uid="{00000000-0010-0000-0000-000003000000}" name="Region"/>
    <tableColumn id="4" xr3:uid="{00000000-0010-0000-0000-000004000000}" name="Rep"/>
    <tableColumn id="5" xr3:uid="{00000000-0010-0000-0000-000005000000}" name="Product"/>
    <tableColumn id="9" xr3:uid="{D66478CE-0C20-4700-9C8E-C09F35ACC062}" name="Category" dataDxfId="10"/>
    <tableColumn id="6" xr3:uid="{00000000-0010-0000-0000-000006000000}" name="Units"/>
    <tableColumn id="7" xr3:uid="{00000000-0010-0000-0000-000007000000}" name="Unit Price" dataDxfId="9"/>
    <tableColumn id="8" xr3:uid="{00000000-0010-0000-0000-000008000000}" name="Unit Cost" dataDxfId="8"/>
    <tableColumn id="12" xr3:uid="{F8DD5624-C508-4A57-B92A-71492715B74C}" name="Revenue" dataDxfId="7"/>
    <tableColumn id="11" xr3:uid="{9E18C35E-8AF9-4687-811F-6943B035D960}" name="Cost" dataDxfId="6"/>
    <tableColumn id="10" xr3:uid="{AFBE2098-B9C3-474A-BB42-5203FE38A2F2}" name="Profit" dataDxfId="5"/>
    <tableColumn id="13" xr3:uid="{B3450DB0-689D-4E17-BCC2-72AB884C89DC}" name="Profit  Margin" dataDxfId="4"/>
    <tableColumn id="14" xr3:uid="{6D4B4991-1922-4617-BD81-3F1BB2E20BA6}" name="Status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ductLookupTable" displayName="ProductLookupTable" ref="P1:Q8" totalsRowShown="0" headerRowDxfId="2">
  <tableColumns count="2">
    <tableColumn id="1" xr3:uid="{00000000-0010-0000-0100-000001000000}" name="Product"/>
    <tableColumn id="2" xr3:uid="{00000000-0010-0000-0100-000002000000}" name="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showGridLines="0" tabSelected="1" topLeftCell="A7" zoomScale="125" zoomScaleNormal="125" workbookViewId="0">
      <selection activeCell="F11" sqref="F11"/>
    </sheetView>
  </sheetViews>
  <sheetFormatPr defaultRowHeight="13.8"/>
  <cols>
    <col min="1" max="1" width="7.3984375" bestFit="1" customWidth="1"/>
    <col min="2" max="2" width="14" bestFit="1" customWidth="1"/>
    <col min="3" max="3" width="7.5" bestFit="1" customWidth="1"/>
    <col min="4" max="4" width="6.796875" bestFit="1" customWidth="1"/>
    <col min="5" max="5" width="9.296875" bestFit="1" customWidth="1"/>
    <col min="6" max="6" width="12" bestFit="1" customWidth="1"/>
  </cols>
  <sheetData>
    <row r="1" spans="1:8" ht="21">
      <c r="A1" s="43" t="s">
        <v>0</v>
      </c>
      <c r="B1" s="43"/>
      <c r="C1" s="44"/>
      <c r="D1" s="44"/>
      <c r="E1" s="44"/>
      <c r="F1" s="44"/>
      <c r="G1" s="44"/>
      <c r="H1" s="44"/>
    </row>
    <row r="2" spans="1:8" ht="14.4">
      <c r="A2" s="1"/>
      <c r="B2" s="1"/>
    </row>
    <row r="3" spans="1:8">
      <c r="A3" s="45" t="s">
        <v>1</v>
      </c>
      <c r="B3" s="45"/>
      <c r="C3" s="46"/>
      <c r="D3" s="46"/>
      <c r="E3" s="46"/>
      <c r="F3" s="46"/>
      <c r="G3" s="46"/>
      <c r="H3" s="46"/>
    </row>
    <row r="4" spans="1:8">
      <c r="A4" s="45"/>
      <c r="B4" s="45"/>
      <c r="C4" s="46"/>
      <c r="D4" s="46"/>
      <c r="E4" s="46"/>
      <c r="F4" s="46"/>
      <c r="G4" s="46"/>
      <c r="H4" s="46"/>
    </row>
    <row r="5" spans="1:8" ht="14.4">
      <c r="A5" s="1"/>
      <c r="B5" s="1"/>
    </row>
    <row r="6" spans="1:8" ht="14.4">
      <c r="A6" s="3" t="s">
        <v>2</v>
      </c>
      <c r="B6" s="9" t="s">
        <v>3</v>
      </c>
    </row>
    <row r="7" spans="1:8" ht="14.4">
      <c r="A7" s="5" t="s">
        <v>4</v>
      </c>
      <c r="B7" s="10" t="s">
        <v>5</v>
      </c>
    </row>
    <row r="8" spans="1:8" ht="14.4">
      <c r="A8" s="5" t="s">
        <v>6</v>
      </c>
      <c r="B8" s="10" t="s">
        <v>7</v>
      </c>
    </row>
    <row r="9" spans="1:8" ht="14.4">
      <c r="A9" s="5" t="s">
        <v>8</v>
      </c>
      <c r="B9" s="10" t="s">
        <v>9</v>
      </c>
    </row>
    <row r="10" spans="1:8" ht="14.4">
      <c r="A10" s="5" t="s">
        <v>10</v>
      </c>
      <c r="B10" s="10" t="s">
        <v>11</v>
      </c>
    </row>
    <row r="11" spans="1:8" ht="14.4">
      <c r="A11" s="5" t="s">
        <v>12</v>
      </c>
      <c r="B11" s="10" t="s">
        <v>13</v>
      </c>
    </row>
    <row r="12" spans="1:8" ht="14.4">
      <c r="A12" s="5" t="s">
        <v>14</v>
      </c>
      <c r="B12" s="10" t="s">
        <v>15</v>
      </c>
    </row>
    <row r="13" spans="1:8" ht="14.4">
      <c r="A13" s="11" t="s">
        <v>16</v>
      </c>
      <c r="B13" s="13" t="s">
        <v>17</v>
      </c>
    </row>
    <row r="14" spans="1:8" ht="14.4">
      <c r="A14" s="1"/>
      <c r="B14" s="1"/>
    </row>
    <row r="15" spans="1:8" ht="14.4">
      <c r="A15" s="1"/>
      <c r="B15" s="1"/>
    </row>
    <row r="16" spans="1:8">
      <c r="A16" s="47" t="s">
        <v>18</v>
      </c>
      <c r="B16" s="47"/>
      <c r="C16" s="48"/>
      <c r="D16" s="48"/>
      <c r="E16" s="48"/>
      <c r="F16" s="48"/>
      <c r="G16" s="48"/>
      <c r="H16" s="48"/>
    </row>
    <row r="17" spans="1:8">
      <c r="A17" s="48"/>
      <c r="B17" s="48"/>
      <c r="C17" s="48"/>
      <c r="D17" s="48"/>
      <c r="E17" s="48"/>
      <c r="F17" s="48"/>
      <c r="G17" s="48"/>
      <c r="H17" s="48"/>
    </row>
    <row r="18" spans="1:8">
      <c r="A18" t="s">
        <v>86</v>
      </c>
    </row>
    <row r="19" spans="1:8" ht="14.4">
      <c r="B19" s="32" t="str">
        <f>Exercise!A18</f>
        <v>Region Summary</v>
      </c>
      <c r="C19" s="32" t="str">
        <f>Exercise!B18</f>
        <v>Revenue</v>
      </c>
      <c r="D19" s="32" t="str">
        <f>Exercise!C18</f>
        <v>Profit</v>
      </c>
      <c r="E19" s="32" t="str">
        <f>Exercise!D18</f>
        <v>Avg Margin</v>
      </c>
      <c r="F19" s="32" t="str">
        <f>Exercise!E18</f>
        <v>Review Orders</v>
      </c>
    </row>
    <row r="20" spans="1:8" ht="14.4">
      <c r="B20" s="33" t="str">
        <f>Exercise!A20</f>
        <v>North</v>
      </c>
      <c r="C20" s="34">
        <f>Exercise!B20</f>
        <v>8619</v>
      </c>
      <c r="D20" s="34">
        <f>Exercise!C20</f>
        <v>6264</v>
      </c>
      <c r="E20" s="35">
        <f>Exercise!D20</f>
        <v>3.0114348370927302E-2</v>
      </c>
      <c r="F20" s="33">
        <f>Exercise!E20</f>
        <v>1</v>
      </c>
    </row>
    <row r="21" spans="1:8" ht="14.4">
      <c r="B21" s="33" t="str">
        <f>Exercise!A21</f>
        <v>South</v>
      </c>
      <c r="C21" s="34">
        <f>Exercise!B21</f>
        <v>5575</v>
      </c>
      <c r="D21" s="34">
        <f>Exercise!C21</f>
        <v>3173</v>
      </c>
      <c r="E21" s="35">
        <f>Exercise!D21</f>
        <v>0.49045097174269664</v>
      </c>
      <c r="F21" s="33">
        <f>Exercise!E21</f>
        <v>1</v>
      </c>
    </row>
    <row r="22" spans="1:8" ht="14.4">
      <c r="B22" s="33" t="str">
        <f>Exercise!A19</f>
        <v>East</v>
      </c>
      <c r="C22" s="34">
        <f>Exercise!B19</f>
        <v>5556</v>
      </c>
      <c r="D22" s="34">
        <f>Exercise!C19</f>
        <v>3079</v>
      </c>
      <c r="E22" s="35">
        <f>Exercise!D19</f>
        <v>0.56586627896868869</v>
      </c>
      <c r="F22" s="33">
        <f>Exercise!E19</f>
        <v>0</v>
      </c>
    </row>
    <row r="23" spans="1:8" ht="14.4">
      <c r="B23" s="33" t="str">
        <f>Exercise!A22</f>
        <v>West</v>
      </c>
      <c r="C23" s="34">
        <f>Exercise!B22</f>
        <v>4135</v>
      </c>
      <c r="D23" s="34">
        <f>Exercise!C22</f>
        <v>2090</v>
      </c>
      <c r="E23" s="35">
        <f>Exercise!D22</f>
        <v>0.358314335745201</v>
      </c>
      <c r="F23" s="33">
        <f>Exercise!E22</f>
        <v>1</v>
      </c>
    </row>
    <row r="24" spans="1:8" ht="14.4">
      <c r="B24" s="33" t="str">
        <f>Exercise!A24</f>
        <v>Total</v>
      </c>
      <c r="C24" s="34">
        <f>Exercise!B24</f>
        <v>23885</v>
      </c>
      <c r="D24" s="34">
        <f>Exercise!C24</f>
        <v>14606</v>
      </c>
      <c r="E24" s="35">
        <f>Exercise!D24</f>
        <v>0.36118648370687839</v>
      </c>
      <c r="F24" s="33">
        <f>Exercise!E24</f>
        <v>3</v>
      </c>
    </row>
  </sheetData>
  <mergeCells count="3">
    <mergeCell ref="A1:H1"/>
    <mergeCell ref="A3:H4"/>
    <mergeCell ref="A16:H17"/>
  </mergeCells>
  <conditionalFormatting sqref="C19:C23">
    <cfRule type="colorScale" priority="4">
      <colorScale>
        <cfvo type="min"/>
        <cfvo type="max"/>
        <color rgb="FFFFEF9C"/>
        <color rgb="FF63BE7B"/>
      </colorScale>
    </cfRule>
  </conditionalFormatting>
  <conditionalFormatting sqref="D20:D23">
    <cfRule type="colorScale" priority="3">
      <colorScale>
        <cfvo type="min"/>
        <cfvo type="max"/>
        <color rgb="FFFCFCFF"/>
        <color rgb="FF63BE7B"/>
      </colorScale>
    </cfRule>
  </conditionalFormatting>
  <conditionalFormatting sqref="E20:E23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F20:F23">
    <cfRule type="cellIs" dxfId="1" priority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4"/>
  <sheetViews>
    <sheetView showGridLines="0" topLeftCell="E11" zoomScale="120" zoomScaleNormal="120" workbookViewId="0">
      <selection activeCell="G31" sqref="G31"/>
    </sheetView>
  </sheetViews>
  <sheetFormatPr defaultRowHeight="13.8"/>
  <cols>
    <col min="1" max="1" width="9.59765625" bestFit="1" customWidth="1"/>
    <col min="2" max="2" width="12.296875" bestFit="1" customWidth="1"/>
    <col min="3" max="3" width="10.09765625" bestFit="1" customWidth="1"/>
    <col min="4" max="4" width="7.69921875" bestFit="1" customWidth="1"/>
    <col min="5" max="5" width="13.296875" bestFit="1" customWidth="1"/>
    <col min="6" max="6" width="11" bestFit="1" customWidth="1"/>
    <col min="7" max="10" width="11.3984375" bestFit="1" customWidth="1"/>
    <col min="11" max="11" width="14.19921875" bestFit="1" customWidth="1"/>
    <col min="12" max="12" width="10.8984375" bestFit="1" customWidth="1"/>
    <col min="13" max="13" width="12.69921875" bestFit="1" customWidth="1"/>
    <col min="14" max="14" width="12.69921875" customWidth="1"/>
    <col min="16" max="16" width="11.8984375" customWidth="1"/>
    <col min="17" max="17" width="9.8984375" customWidth="1"/>
  </cols>
  <sheetData>
    <row r="1" spans="1:19" ht="15.6">
      <c r="A1" s="26" t="s">
        <v>19</v>
      </c>
      <c r="B1" s="26" t="s">
        <v>20</v>
      </c>
      <c r="C1" s="26" t="s">
        <v>21</v>
      </c>
      <c r="D1" s="26" t="s">
        <v>22</v>
      </c>
      <c r="E1" s="26" t="s">
        <v>23</v>
      </c>
      <c r="F1" s="26" t="s">
        <v>27</v>
      </c>
      <c r="G1" s="26" t="s">
        <v>24</v>
      </c>
      <c r="H1" s="26" t="s">
        <v>25</v>
      </c>
      <c r="I1" s="26" t="s">
        <v>26</v>
      </c>
      <c r="J1" s="26" t="s">
        <v>59</v>
      </c>
      <c r="K1" s="26" t="s">
        <v>77</v>
      </c>
      <c r="L1" s="27" t="s">
        <v>60</v>
      </c>
      <c r="M1" s="27" t="s">
        <v>78</v>
      </c>
      <c r="N1" s="27" t="s">
        <v>68</v>
      </c>
      <c r="P1" s="26" t="s">
        <v>23</v>
      </c>
      <c r="Q1" s="26" t="s">
        <v>27</v>
      </c>
    </row>
    <row r="2" spans="1:19" ht="14.4">
      <c r="A2" s="1" t="s">
        <v>28</v>
      </c>
      <c r="B2" s="25">
        <v>46027</v>
      </c>
      <c r="C2" s="1" t="s">
        <v>29</v>
      </c>
      <c r="D2" s="1" t="s">
        <v>30</v>
      </c>
      <c r="E2" s="1" t="s">
        <v>31</v>
      </c>
      <c r="F2" s="1" t="s">
        <v>32</v>
      </c>
      <c r="G2" s="1">
        <v>18</v>
      </c>
      <c r="H2" s="24">
        <v>77</v>
      </c>
      <c r="I2" s="24">
        <v>24</v>
      </c>
      <c r="J2" s="24">
        <v>1386</v>
      </c>
      <c r="K2" s="24">
        <v>432</v>
      </c>
      <c r="L2" s="24">
        <v>954</v>
      </c>
      <c r="M2" s="28">
        <v>0.68831168831168832</v>
      </c>
      <c r="N2" s="24" t="s">
        <v>80</v>
      </c>
      <c r="P2" s="1" t="s">
        <v>31</v>
      </c>
      <c r="Q2" s="1" t="s">
        <v>32</v>
      </c>
    </row>
    <row r="3" spans="1:19" ht="14.4">
      <c r="A3" s="5" t="s">
        <v>33</v>
      </c>
      <c r="B3" s="25">
        <v>46029</v>
      </c>
      <c r="C3" s="1" t="s">
        <v>73</v>
      </c>
      <c r="D3" s="1" t="s">
        <v>34</v>
      </c>
      <c r="E3" s="1" t="s">
        <v>35</v>
      </c>
      <c r="F3" s="1" t="s">
        <v>32</v>
      </c>
      <c r="G3" s="1">
        <v>40</v>
      </c>
      <c r="H3" s="24">
        <v>38</v>
      </c>
      <c r="I3" s="24">
        <v>15</v>
      </c>
      <c r="J3" s="24">
        <v>1520</v>
      </c>
      <c r="K3" s="24">
        <v>600</v>
      </c>
      <c r="L3" s="24">
        <v>920</v>
      </c>
      <c r="M3" s="28">
        <v>0.60526315789473684</v>
      </c>
      <c r="N3" s="24" t="s">
        <v>80</v>
      </c>
      <c r="P3" s="1" t="s">
        <v>35</v>
      </c>
      <c r="Q3" s="1" t="s">
        <v>32</v>
      </c>
      <c r="S3" s="6"/>
    </row>
    <row r="4" spans="1:19" ht="14.4">
      <c r="A4" s="5" t="s">
        <v>36</v>
      </c>
      <c r="B4" s="25">
        <v>46031</v>
      </c>
      <c r="C4" s="1" t="s">
        <v>37</v>
      </c>
      <c r="D4" s="1" t="s">
        <v>38</v>
      </c>
      <c r="E4" s="1" t="s">
        <v>39</v>
      </c>
      <c r="F4" s="1" t="s">
        <v>40</v>
      </c>
      <c r="G4" s="1">
        <v>22</v>
      </c>
      <c r="H4" s="24">
        <v>113</v>
      </c>
      <c r="I4" s="24">
        <v>39</v>
      </c>
      <c r="J4" s="24">
        <v>2486</v>
      </c>
      <c r="K4" s="24">
        <v>858</v>
      </c>
      <c r="L4" s="24">
        <v>1628</v>
      </c>
      <c r="M4" s="28">
        <v>0.65486725663716816</v>
      </c>
      <c r="N4" s="24" t="s">
        <v>80</v>
      </c>
      <c r="P4" s="1" t="s">
        <v>39</v>
      </c>
      <c r="Q4" s="1" t="s">
        <v>40</v>
      </c>
      <c r="S4" s="6"/>
    </row>
    <row r="5" spans="1:19" ht="14.4">
      <c r="A5" s="5" t="s">
        <v>41</v>
      </c>
      <c r="B5" s="25">
        <v>46034</v>
      </c>
      <c r="C5" s="1" t="s">
        <v>42</v>
      </c>
      <c r="D5" s="1" t="s">
        <v>43</v>
      </c>
      <c r="E5" s="1" t="s">
        <v>44</v>
      </c>
      <c r="F5" s="1" t="s">
        <v>45</v>
      </c>
      <c r="G5" s="1">
        <v>12</v>
      </c>
      <c r="H5" s="24">
        <v>34</v>
      </c>
      <c r="I5" s="24">
        <v>68</v>
      </c>
      <c r="J5" s="24">
        <v>408</v>
      </c>
      <c r="K5" s="24">
        <v>816</v>
      </c>
      <c r="L5" s="24">
        <v>-408</v>
      </c>
      <c r="M5" s="28">
        <v>-1</v>
      </c>
      <c r="N5" s="24" t="s">
        <v>81</v>
      </c>
      <c r="P5" s="1" t="s">
        <v>44</v>
      </c>
      <c r="Q5" s="1" t="s">
        <v>45</v>
      </c>
      <c r="S5" s="6"/>
    </row>
    <row r="6" spans="1:19" ht="13.8" customHeight="1">
      <c r="A6" s="5" t="s">
        <v>46</v>
      </c>
      <c r="B6" s="25">
        <v>46036</v>
      </c>
      <c r="C6" s="1" t="s">
        <v>29</v>
      </c>
      <c r="D6" s="1" t="s">
        <v>30</v>
      </c>
      <c r="E6" s="1" t="s">
        <v>47</v>
      </c>
      <c r="F6" s="1" t="s">
        <v>32</v>
      </c>
      <c r="G6" s="1">
        <v>35</v>
      </c>
      <c r="H6" s="24">
        <v>48</v>
      </c>
      <c r="I6" s="24">
        <v>25</v>
      </c>
      <c r="J6" s="24">
        <v>1680</v>
      </c>
      <c r="K6" s="24">
        <v>875</v>
      </c>
      <c r="L6" s="24">
        <v>805</v>
      </c>
      <c r="M6" s="28">
        <v>0.47916666666666669</v>
      </c>
      <c r="N6" s="24" t="s">
        <v>80</v>
      </c>
      <c r="P6" s="1" t="s">
        <v>47</v>
      </c>
      <c r="Q6" s="1" t="s">
        <v>32</v>
      </c>
      <c r="S6" s="6"/>
    </row>
    <row r="7" spans="1:19" ht="14.4">
      <c r="A7" s="5" t="s">
        <v>48</v>
      </c>
      <c r="B7" s="25">
        <v>46038</v>
      </c>
      <c r="C7" s="1" t="s">
        <v>73</v>
      </c>
      <c r="D7" s="1" t="s">
        <v>34</v>
      </c>
      <c r="E7" s="1" t="s">
        <v>49</v>
      </c>
      <c r="F7" s="1" t="s">
        <v>50</v>
      </c>
      <c r="G7" s="1">
        <v>15</v>
      </c>
      <c r="H7" s="24">
        <v>135</v>
      </c>
      <c r="I7" s="24">
        <v>51</v>
      </c>
      <c r="J7" s="24">
        <v>2025</v>
      </c>
      <c r="K7" s="24">
        <v>765</v>
      </c>
      <c r="L7" s="24">
        <v>1260</v>
      </c>
      <c r="M7" s="28">
        <v>0.62222222222222223</v>
      </c>
      <c r="N7" s="24" t="s">
        <v>80</v>
      </c>
      <c r="P7" s="1" t="s">
        <v>49</v>
      </c>
      <c r="Q7" s="1" t="s">
        <v>50</v>
      </c>
      <c r="S7" s="6"/>
    </row>
    <row r="8" spans="1:19" ht="14.4">
      <c r="A8" s="5" t="s">
        <v>51</v>
      </c>
      <c r="B8" s="25">
        <v>46040</v>
      </c>
      <c r="C8" s="1" t="s">
        <v>37</v>
      </c>
      <c r="D8" s="1" t="s">
        <v>38</v>
      </c>
      <c r="E8" s="1" t="s">
        <v>52</v>
      </c>
      <c r="F8" s="1" t="s">
        <v>40</v>
      </c>
      <c r="G8" s="1">
        <v>8</v>
      </c>
      <c r="H8" s="24">
        <v>133</v>
      </c>
      <c r="I8" s="24">
        <v>118</v>
      </c>
      <c r="J8" s="24">
        <v>1064</v>
      </c>
      <c r="K8" s="24">
        <v>944</v>
      </c>
      <c r="L8" s="24">
        <v>120</v>
      </c>
      <c r="M8" s="28">
        <v>0.11278195488721804</v>
      </c>
      <c r="N8" s="24" t="s">
        <v>81</v>
      </c>
      <c r="P8" s="1" t="s">
        <v>52</v>
      </c>
      <c r="Q8" s="1" t="s">
        <v>40</v>
      </c>
      <c r="S8" s="6"/>
    </row>
    <row r="9" spans="1:19" ht="14.4">
      <c r="A9" s="5" t="s">
        <v>53</v>
      </c>
      <c r="B9" s="25">
        <v>46043</v>
      </c>
      <c r="C9" s="1" t="s">
        <v>42</v>
      </c>
      <c r="D9" s="1" t="s">
        <v>43</v>
      </c>
      <c r="E9" s="1" t="s">
        <v>35</v>
      </c>
      <c r="F9" s="1" t="s">
        <v>32</v>
      </c>
      <c r="G9" s="1">
        <v>55</v>
      </c>
      <c r="H9" s="24">
        <v>133</v>
      </c>
      <c r="I9" s="24">
        <v>15</v>
      </c>
      <c r="J9" s="24">
        <v>7315</v>
      </c>
      <c r="K9" s="24">
        <v>825</v>
      </c>
      <c r="L9" s="24">
        <v>6490</v>
      </c>
      <c r="M9" s="28">
        <v>0.88721804511278191</v>
      </c>
      <c r="N9" s="24" t="s">
        <v>80</v>
      </c>
      <c r="P9" s="1"/>
      <c r="Q9" s="1"/>
      <c r="S9" s="6"/>
    </row>
    <row r="10" spans="1:19" ht="14.4">
      <c r="A10" s="5" t="s">
        <v>54</v>
      </c>
      <c r="B10" s="25">
        <v>46045</v>
      </c>
      <c r="C10" s="1" t="s">
        <v>29</v>
      </c>
      <c r="D10" s="1" t="s">
        <v>30</v>
      </c>
      <c r="E10" s="1" t="s">
        <v>39</v>
      </c>
      <c r="F10" s="1" t="s">
        <v>40</v>
      </c>
      <c r="G10" s="1">
        <v>30</v>
      </c>
      <c r="H10" s="24">
        <v>83</v>
      </c>
      <c r="I10" s="24">
        <v>39</v>
      </c>
      <c r="J10" s="24">
        <v>2490</v>
      </c>
      <c r="K10" s="24">
        <v>1170</v>
      </c>
      <c r="L10" s="24">
        <v>1320</v>
      </c>
      <c r="M10" s="28">
        <v>0.53012048192771088</v>
      </c>
      <c r="N10" s="24" t="s">
        <v>80</v>
      </c>
      <c r="P10" s="1"/>
      <c r="Q10" s="1"/>
      <c r="S10" s="6"/>
    </row>
    <row r="11" spans="1:19" ht="14.4">
      <c r="A11" s="5" t="s">
        <v>55</v>
      </c>
      <c r="B11" s="25">
        <v>46047</v>
      </c>
      <c r="C11" s="1" t="s">
        <v>73</v>
      </c>
      <c r="D11" s="1" t="s">
        <v>34</v>
      </c>
      <c r="E11" s="1" t="s">
        <v>44</v>
      </c>
      <c r="F11" s="1" t="s">
        <v>45</v>
      </c>
      <c r="G11" s="1">
        <v>10</v>
      </c>
      <c r="H11" s="24">
        <v>59</v>
      </c>
      <c r="I11" s="24">
        <v>68</v>
      </c>
      <c r="J11" s="24">
        <v>590</v>
      </c>
      <c r="K11" s="24">
        <v>680</v>
      </c>
      <c r="L11" s="24">
        <v>-90</v>
      </c>
      <c r="M11" s="28">
        <v>-0.15254237288135594</v>
      </c>
      <c r="N11" s="24" t="s">
        <v>81</v>
      </c>
      <c r="P11" s="1"/>
      <c r="Q11" s="1"/>
      <c r="S11" s="6"/>
    </row>
    <row r="12" spans="1:19" ht="14.4">
      <c r="A12" s="5" t="s">
        <v>56</v>
      </c>
      <c r="B12" s="25">
        <v>46049</v>
      </c>
      <c r="C12" s="1" t="s">
        <v>37</v>
      </c>
      <c r="D12" s="1" t="s">
        <v>38</v>
      </c>
      <c r="E12" s="1" t="s">
        <v>31</v>
      </c>
      <c r="F12" s="1" t="s">
        <v>32</v>
      </c>
      <c r="G12" s="1">
        <v>25</v>
      </c>
      <c r="H12" s="24">
        <v>81</v>
      </c>
      <c r="I12" s="24">
        <v>24</v>
      </c>
      <c r="J12" s="24">
        <v>2025</v>
      </c>
      <c r="K12" s="24">
        <v>600</v>
      </c>
      <c r="L12" s="24">
        <v>1425</v>
      </c>
      <c r="M12" s="28">
        <v>0.70370370370370372</v>
      </c>
      <c r="N12" s="24" t="s">
        <v>80</v>
      </c>
      <c r="P12" s="1"/>
      <c r="Q12" s="1"/>
      <c r="S12" s="6"/>
    </row>
    <row r="13" spans="1:19" ht="14.4">
      <c r="A13" s="5" t="s">
        <v>57</v>
      </c>
      <c r="B13" s="25">
        <v>46052</v>
      </c>
      <c r="C13" s="1" t="s">
        <v>42</v>
      </c>
      <c r="D13" s="1" t="s">
        <v>43</v>
      </c>
      <c r="E13" s="1" t="s">
        <v>49</v>
      </c>
      <c r="F13" s="1" t="s">
        <v>50</v>
      </c>
      <c r="G13" s="1">
        <v>14</v>
      </c>
      <c r="H13" s="24">
        <v>64</v>
      </c>
      <c r="I13" s="24">
        <v>51</v>
      </c>
      <c r="J13" s="24">
        <v>896</v>
      </c>
      <c r="K13" s="24">
        <v>714</v>
      </c>
      <c r="L13" s="24">
        <v>182</v>
      </c>
      <c r="M13" s="28">
        <v>0.203125</v>
      </c>
      <c r="N13" s="24" t="s">
        <v>80</v>
      </c>
      <c r="P13" s="1"/>
      <c r="Q13" s="1"/>
      <c r="S13" s="6"/>
    </row>
    <row r="14" spans="1:19">
      <c r="B14" s="36"/>
      <c r="H14" s="37"/>
      <c r="I14" s="37"/>
      <c r="J14" s="37"/>
      <c r="K14" s="37"/>
      <c r="L14" s="37"/>
      <c r="M14" s="37"/>
      <c r="N14" s="37"/>
      <c r="S14" s="6"/>
    </row>
    <row r="15" spans="1:19">
      <c r="B15" s="36"/>
      <c r="H15" s="37"/>
      <c r="I15" s="37"/>
      <c r="J15" s="37"/>
      <c r="K15" s="37"/>
      <c r="L15" s="37"/>
      <c r="M15" s="37"/>
      <c r="N15" s="37"/>
    </row>
    <row r="17" spans="6:12">
      <c r="G17" s="42" t="s">
        <v>68</v>
      </c>
      <c r="H17" s="42" t="s">
        <v>91</v>
      </c>
      <c r="I17" s="40"/>
      <c r="J17" s="38"/>
    </row>
    <row r="18" spans="6:12">
      <c r="G18" s="38" t="s">
        <v>80</v>
      </c>
      <c r="H18" s="38"/>
      <c r="I18" s="40" t="s">
        <v>81</v>
      </c>
      <c r="J18" s="38"/>
      <c r="K18" t="s">
        <v>87</v>
      </c>
      <c r="L18" t="s">
        <v>89</v>
      </c>
    </row>
    <row r="19" spans="6:12">
      <c r="F19" s="29" t="s">
        <v>21</v>
      </c>
      <c r="G19" t="s">
        <v>88</v>
      </c>
      <c r="H19" t="s">
        <v>90</v>
      </c>
      <c r="I19" s="39" t="s">
        <v>88</v>
      </c>
      <c r="J19" t="s">
        <v>90</v>
      </c>
    </row>
    <row r="20" spans="6:12">
      <c r="F20" t="s">
        <v>29</v>
      </c>
      <c r="G20" s="30">
        <v>3826</v>
      </c>
      <c r="H20" s="30">
        <v>1349</v>
      </c>
      <c r="I20" s="41">
        <v>0</v>
      </c>
      <c r="J20" s="30">
        <v>0</v>
      </c>
      <c r="K20" s="30">
        <v>3826</v>
      </c>
      <c r="L20" s="30">
        <v>1349</v>
      </c>
    </row>
    <row r="21" spans="6:12">
      <c r="F21" t="s">
        <v>42</v>
      </c>
      <c r="G21" s="30">
        <v>3551</v>
      </c>
      <c r="H21" s="30">
        <v>1196</v>
      </c>
      <c r="I21" s="41">
        <v>0</v>
      </c>
      <c r="J21" s="30">
        <v>0</v>
      </c>
      <c r="K21" s="30">
        <v>3551</v>
      </c>
      <c r="L21" s="30">
        <v>1196</v>
      </c>
    </row>
    <row r="22" spans="6:12">
      <c r="F22" t="s">
        <v>37</v>
      </c>
      <c r="G22" s="30">
        <v>2326</v>
      </c>
      <c r="H22" s="30">
        <v>868</v>
      </c>
      <c r="I22" s="41">
        <v>1160</v>
      </c>
      <c r="J22" s="30">
        <v>216</v>
      </c>
      <c r="K22" s="30">
        <v>3486</v>
      </c>
      <c r="L22" s="30">
        <v>1084</v>
      </c>
    </row>
    <row r="23" spans="6:12">
      <c r="F23" t="s">
        <v>73</v>
      </c>
      <c r="G23" s="30">
        <v>3060</v>
      </c>
      <c r="H23" s="30">
        <v>1015</v>
      </c>
      <c r="I23" s="41">
        <v>0</v>
      </c>
      <c r="J23" s="30">
        <v>0</v>
      </c>
      <c r="K23" s="30">
        <v>3060</v>
      </c>
      <c r="L23" s="30">
        <v>1015</v>
      </c>
    </row>
    <row r="24" spans="6:12">
      <c r="F24" t="s">
        <v>79</v>
      </c>
      <c r="G24" s="30">
        <v>12763</v>
      </c>
      <c r="H24" s="30">
        <v>4428</v>
      </c>
      <c r="I24" s="41">
        <v>1160</v>
      </c>
      <c r="J24" s="30">
        <v>216</v>
      </c>
      <c r="K24" s="30">
        <v>13923</v>
      </c>
      <c r="L24" s="30">
        <v>4644</v>
      </c>
    </row>
  </sheetData>
  <conditionalFormatting sqref="M2:M13">
    <cfRule type="expression" dxfId="0" priority="1">
      <formula>$M2&lt;0.2</formula>
    </cfRule>
  </conditionalFormatting>
  <dataValidations disablePrompts="1" count="1">
    <dataValidation type="list" sqref="C2:C13" xr:uid="{00000000-0002-0000-0100-000000000000}">
      <formula1>"East,West,South,North,West-Coast"</formula1>
    </dataValidation>
  </dataValidations>
  <pageMargins left="0.7" right="0.7" top="0.75" bottom="0.75" header="0.3" footer="0.3"/>
  <pageSetup orientation="portrait" r:id="rId2"/>
  <tableParts count="2"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4"/>
  <sheetViews>
    <sheetView showGridLines="0" topLeftCell="A15" zoomScale="120" zoomScaleNormal="120" workbookViewId="0">
      <selection activeCell="I20" sqref="I20"/>
    </sheetView>
  </sheetViews>
  <sheetFormatPr defaultRowHeight="13.8"/>
  <cols>
    <col min="1" max="4" width="9.69921875" customWidth="1"/>
    <col min="5" max="5" width="12.3984375" bestFit="1" customWidth="1"/>
    <col min="6" max="7" width="9.69921875" customWidth="1"/>
    <col min="8" max="8" width="17.19921875" bestFit="1" customWidth="1"/>
    <col min="9" max="9" width="6.3984375" bestFit="1" customWidth="1"/>
    <col min="10" max="13" width="9.69921875" customWidth="1"/>
    <col min="15" max="15" width="11" bestFit="1" customWidth="1"/>
    <col min="16" max="16" width="48" bestFit="1" customWidth="1"/>
  </cols>
  <sheetData>
    <row r="1" spans="1:16" ht="18">
      <c r="A1" s="49" t="s">
        <v>58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2"/>
      <c r="N1" s="2"/>
      <c r="O1" s="1"/>
      <c r="P1" s="1"/>
    </row>
    <row r="2" spans="1:16" ht="14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14.4">
      <c r="A3" s="3" t="s">
        <v>19</v>
      </c>
      <c r="B3" s="4" t="s">
        <v>20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4" t="s">
        <v>26</v>
      </c>
      <c r="I3" s="4" t="s">
        <v>27</v>
      </c>
      <c r="J3" s="4" t="s">
        <v>59</v>
      </c>
      <c r="K3" s="4" t="s">
        <v>60</v>
      </c>
      <c r="L3" s="4" t="s">
        <v>61</v>
      </c>
      <c r="M3" s="4" t="s">
        <v>68</v>
      </c>
      <c r="N3" s="9"/>
      <c r="O3" s="3" t="s">
        <v>62</v>
      </c>
      <c r="P3" s="9" t="s">
        <v>63</v>
      </c>
    </row>
    <row r="4" spans="1:16" ht="14.4">
      <c r="A4" s="5" t="str">
        <f>'Sales Data'!A2</f>
        <v>SO-1001</v>
      </c>
      <c r="B4" s="7">
        <f>'Sales Data'!B2</f>
        <v>46027</v>
      </c>
      <c r="C4" s="1" t="str">
        <f>'Sales Data'!C2</f>
        <v>East</v>
      </c>
      <c r="D4" s="1" t="str">
        <f>'Sales Data'!D2</f>
        <v>A. Patel</v>
      </c>
      <c r="E4" s="1" t="str">
        <f>'Sales Data'!E2</f>
        <v>Laptop Stand</v>
      </c>
      <c r="F4" s="1">
        <f>'Sales Data'!G2</f>
        <v>18</v>
      </c>
      <c r="G4" s="8">
        <f>'Sales Data'!H2</f>
        <v>77</v>
      </c>
      <c r="H4" s="8">
        <f>'Sales Data'!I2</f>
        <v>24</v>
      </c>
      <c r="I4" s="19" t="str">
        <f>_xlfn.XLOOKUP(E4,ProductLookupTable[Product],ProductLookupTable[Category])</f>
        <v>Accessories</v>
      </c>
      <c r="J4" s="20">
        <f>G4*F4</f>
        <v>1386</v>
      </c>
      <c r="K4" s="20">
        <f>J4-(H4*F4)</f>
        <v>954</v>
      </c>
      <c r="L4" s="21">
        <f>K4/J4</f>
        <v>0.68831168831168832</v>
      </c>
      <c r="M4" s="21" t="str">
        <f>IF(L4&lt;0.2,"Review","OK")</f>
        <v>OK</v>
      </c>
      <c r="N4" s="10"/>
      <c r="O4" s="5" t="s">
        <v>27</v>
      </c>
      <c r="P4" s="22" t="s">
        <v>64</v>
      </c>
    </row>
    <row r="5" spans="1:16" ht="14.4">
      <c r="A5" s="5" t="str">
        <f>'Sales Data'!A3</f>
        <v>SO-1002</v>
      </c>
      <c r="B5" s="7">
        <f>'Sales Data'!B3</f>
        <v>46029</v>
      </c>
      <c r="C5" s="1" t="str">
        <f>'Sales Data'!C3</f>
        <v>West</v>
      </c>
      <c r="D5" s="1" t="str">
        <f>'Sales Data'!D3</f>
        <v>M. Chen</v>
      </c>
      <c r="E5" s="1" t="str">
        <f>'Sales Data'!E3</f>
        <v>Wireless Mouse</v>
      </c>
      <c r="F5" s="1">
        <f>'Sales Data'!G3</f>
        <v>40</v>
      </c>
      <c r="G5" s="8">
        <f>'Sales Data'!H3</f>
        <v>38</v>
      </c>
      <c r="H5" s="8">
        <f>'Sales Data'!I3</f>
        <v>15</v>
      </c>
      <c r="I5" s="19" t="str">
        <f>_xlfn.XLOOKUP(E5,ProductLookupTable[Product],ProductLookupTable[Category])</f>
        <v>Accessories</v>
      </c>
      <c r="J5" s="20">
        <f t="shared" ref="J5:J15" si="0">G5*F5</f>
        <v>1520</v>
      </c>
      <c r="K5" s="20">
        <f t="shared" ref="K5:K15" si="1">J5-(H5*F5)</f>
        <v>920</v>
      </c>
      <c r="L5" s="21">
        <f t="shared" ref="L5:L15" si="2">K5/J5</f>
        <v>0.60526315789473684</v>
      </c>
      <c r="M5" s="21" t="str">
        <f t="shared" ref="M5:M15" si="3">IF(L5&lt;0.2,"Review","OK")</f>
        <v>OK</v>
      </c>
      <c r="N5" s="10"/>
      <c r="O5" s="5" t="s">
        <v>59</v>
      </c>
      <c r="P5" s="22" t="s">
        <v>65</v>
      </c>
    </row>
    <row r="6" spans="1:16" ht="14.4">
      <c r="A6" s="5" t="str">
        <f>'Sales Data'!A4</f>
        <v>SO-1003</v>
      </c>
      <c r="B6" s="7">
        <f>'Sales Data'!B4</f>
        <v>46031</v>
      </c>
      <c r="C6" s="1" t="str">
        <f>'Sales Data'!C4</f>
        <v>South</v>
      </c>
      <c r="D6" s="1" t="str">
        <f>'Sales Data'!D4</f>
        <v>J. Rivera</v>
      </c>
      <c r="E6" s="1" t="str">
        <f>'Sales Data'!E4</f>
        <v>USB-C Hub</v>
      </c>
      <c r="F6" s="1">
        <f>'Sales Data'!G4</f>
        <v>22</v>
      </c>
      <c r="G6" s="8">
        <f>'Sales Data'!H4</f>
        <v>113</v>
      </c>
      <c r="H6" s="8">
        <f>'Sales Data'!I4</f>
        <v>39</v>
      </c>
      <c r="I6" s="19" t="str">
        <f>_xlfn.XLOOKUP(E6,ProductLookupTable[Product],ProductLookupTable[Category])</f>
        <v>Connectivity</v>
      </c>
      <c r="J6" s="20">
        <f t="shared" si="0"/>
        <v>2486</v>
      </c>
      <c r="K6" s="20">
        <f t="shared" si="1"/>
        <v>1628</v>
      </c>
      <c r="L6" s="21">
        <f t="shared" si="2"/>
        <v>0.65486725663716816</v>
      </c>
      <c r="M6" s="21" t="str">
        <f t="shared" si="3"/>
        <v>OK</v>
      </c>
      <c r="N6" s="10"/>
      <c r="O6" s="5" t="s">
        <v>60</v>
      </c>
      <c r="P6" s="22" t="s">
        <v>66</v>
      </c>
    </row>
    <row r="7" spans="1:16" ht="14.4">
      <c r="A7" s="5" t="str">
        <f>'Sales Data'!A5</f>
        <v>SO-1004</v>
      </c>
      <c r="B7" s="7">
        <f>'Sales Data'!B5</f>
        <v>46034</v>
      </c>
      <c r="C7" s="1" t="str">
        <f>'Sales Data'!C5</f>
        <v>North</v>
      </c>
      <c r="D7" s="1" t="str">
        <f>'Sales Data'!D5</f>
        <v>S. Brooks</v>
      </c>
      <c r="E7" s="1" t="str">
        <f>'Sales Data'!E5</f>
        <v>Monitor Arm</v>
      </c>
      <c r="F7" s="1">
        <f>'Sales Data'!G5</f>
        <v>12</v>
      </c>
      <c r="G7" s="8">
        <f>'Sales Data'!H5</f>
        <v>34</v>
      </c>
      <c r="H7" s="8">
        <f>'Sales Data'!I5</f>
        <v>68</v>
      </c>
      <c r="I7" s="19" t="str">
        <f>_xlfn.XLOOKUP(E7,ProductLookupTable[Product],ProductLookupTable[Category])</f>
        <v>Furniture</v>
      </c>
      <c r="J7" s="20">
        <f t="shared" si="0"/>
        <v>408</v>
      </c>
      <c r="K7" s="20">
        <f t="shared" si="1"/>
        <v>-408</v>
      </c>
      <c r="L7" s="21">
        <f t="shared" si="2"/>
        <v>-1</v>
      </c>
      <c r="M7" s="21" t="str">
        <f t="shared" si="3"/>
        <v>Review</v>
      </c>
      <c r="N7" s="10"/>
      <c r="O7" s="5" t="s">
        <v>61</v>
      </c>
      <c r="P7" s="22" t="s">
        <v>67</v>
      </c>
    </row>
    <row r="8" spans="1:16" ht="14.4">
      <c r="A8" s="5" t="str">
        <f>'Sales Data'!A6</f>
        <v>SO-1005</v>
      </c>
      <c r="B8" s="7">
        <f>'Sales Data'!B6</f>
        <v>46036</v>
      </c>
      <c r="C8" s="1" t="str">
        <f>'Sales Data'!C6</f>
        <v>East</v>
      </c>
      <c r="D8" s="1" t="str">
        <f>'Sales Data'!D6</f>
        <v>A. Patel</v>
      </c>
      <c r="E8" s="1" t="str">
        <f>'Sales Data'!E6</f>
        <v>Keyboard</v>
      </c>
      <c r="F8" s="1">
        <f>'Sales Data'!G6</f>
        <v>35</v>
      </c>
      <c r="G8" s="8">
        <f>'Sales Data'!H6</f>
        <v>48</v>
      </c>
      <c r="H8" s="8">
        <f>'Sales Data'!I6</f>
        <v>25</v>
      </c>
      <c r="I8" s="19" t="str">
        <f>_xlfn.XLOOKUP(E8,ProductLookupTable[Product],ProductLookupTable[Category])</f>
        <v>Accessories</v>
      </c>
      <c r="J8" s="20">
        <f t="shared" si="0"/>
        <v>1680</v>
      </c>
      <c r="K8" s="20">
        <f t="shared" si="1"/>
        <v>805</v>
      </c>
      <c r="L8" s="21">
        <f t="shared" si="2"/>
        <v>0.47916666666666669</v>
      </c>
      <c r="M8" s="21" t="str">
        <f t="shared" si="3"/>
        <v>OK</v>
      </c>
      <c r="N8" s="10"/>
      <c r="O8" s="11" t="s">
        <v>68</v>
      </c>
      <c r="P8" s="23" t="s">
        <v>69</v>
      </c>
    </row>
    <row r="9" spans="1:16" ht="14.4">
      <c r="A9" s="5" t="str">
        <f>'Sales Data'!A7</f>
        <v>SO-1006</v>
      </c>
      <c r="B9" s="7">
        <f>'Sales Data'!B7</f>
        <v>46038</v>
      </c>
      <c r="C9" s="1" t="str">
        <f>'Sales Data'!C7</f>
        <v>West</v>
      </c>
      <c r="D9" s="1" t="str">
        <f>'Sales Data'!D7</f>
        <v>M. Chen</v>
      </c>
      <c r="E9" s="1" t="str">
        <f>'Sales Data'!E7</f>
        <v>Webcam</v>
      </c>
      <c r="F9" s="1">
        <f>'Sales Data'!G7</f>
        <v>15</v>
      </c>
      <c r="G9" s="8">
        <f>'Sales Data'!H7</f>
        <v>135</v>
      </c>
      <c r="H9" s="8">
        <f>'Sales Data'!I7</f>
        <v>51</v>
      </c>
      <c r="I9" s="19" t="str">
        <f>_xlfn.XLOOKUP(E9,ProductLookupTable[Product],ProductLookupTable[Category])</f>
        <v>Video</v>
      </c>
      <c r="J9" s="20">
        <f t="shared" si="0"/>
        <v>2025</v>
      </c>
      <c r="K9" s="20">
        <f t="shared" si="1"/>
        <v>1260</v>
      </c>
      <c r="L9" s="21">
        <f t="shared" si="2"/>
        <v>0.62222222222222223</v>
      </c>
      <c r="M9" s="21" t="str">
        <f t="shared" si="3"/>
        <v>OK</v>
      </c>
      <c r="N9" s="10"/>
      <c r="O9" s="1"/>
      <c r="P9" s="1"/>
    </row>
    <row r="10" spans="1:16" ht="14.4">
      <c r="A10" s="5" t="str">
        <f>'Sales Data'!A8</f>
        <v>SO-1007</v>
      </c>
      <c r="B10" s="7">
        <f>'Sales Data'!B8</f>
        <v>46040</v>
      </c>
      <c r="C10" s="1" t="str">
        <f>'Sales Data'!C8</f>
        <v>South</v>
      </c>
      <c r="D10" s="1" t="str">
        <f>'Sales Data'!D8</f>
        <v>J. Rivera</v>
      </c>
      <c r="E10" s="1" t="str">
        <f>'Sales Data'!E8</f>
        <v>Docking Station</v>
      </c>
      <c r="F10" s="1">
        <f>'Sales Data'!G8</f>
        <v>8</v>
      </c>
      <c r="G10" s="8">
        <f>'Sales Data'!H8</f>
        <v>133</v>
      </c>
      <c r="H10" s="8">
        <f>'Sales Data'!I8</f>
        <v>118</v>
      </c>
      <c r="I10" s="19" t="str">
        <f>_xlfn.XLOOKUP(E10,ProductLookupTable[Product],ProductLookupTable[Category])</f>
        <v>Connectivity</v>
      </c>
      <c r="J10" s="20">
        <f t="shared" si="0"/>
        <v>1064</v>
      </c>
      <c r="K10" s="20">
        <f t="shared" si="1"/>
        <v>120</v>
      </c>
      <c r="L10" s="21">
        <f t="shared" si="2"/>
        <v>0.11278195488721804</v>
      </c>
      <c r="M10" s="21" t="str">
        <f t="shared" si="3"/>
        <v>Review</v>
      </c>
      <c r="N10" s="10"/>
      <c r="O10" s="1"/>
      <c r="P10" s="1"/>
    </row>
    <row r="11" spans="1:16" ht="14.4">
      <c r="A11" s="5" t="str">
        <f>'Sales Data'!A9</f>
        <v>SO-1008</v>
      </c>
      <c r="B11" s="7">
        <f>'Sales Data'!B9</f>
        <v>46043</v>
      </c>
      <c r="C11" s="1" t="str">
        <f>'Sales Data'!C9</f>
        <v>North</v>
      </c>
      <c r="D11" s="1" t="str">
        <f>'Sales Data'!D9</f>
        <v>S. Brooks</v>
      </c>
      <c r="E11" s="1" t="str">
        <f>'Sales Data'!E9</f>
        <v>Wireless Mouse</v>
      </c>
      <c r="F11" s="1">
        <f>'Sales Data'!G9</f>
        <v>55</v>
      </c>
      <c r="G11" s="8">
        <f>'Sales Data'!H9</f>
        <v>133</v>
      </c>
      <c r="H11" s="8">
        <f>'Sales Data'!I9</f>
        <v>15</v>
      </c>
      <c r="I11" s="19" t="str">
        <f>_xlfn.XLOOKUP(E11,ProductLookupTable[Product],ProductLookupTable[Category])</f>
        <v>Accessories</v>
      </c>
      <c r="J11" s="20">
        <f t="shared" si="0"/>
        <v>7315</v>
      </c>
      <c r="K11" s="20">
        <f t="shared" si="1"/>
        <v>6490</v>
      </c>
      <c r="L11" s="21">
        <f t="shared" si="2"/>
        <v>0.88721804511278191</v>
      </c>
      <c r="M11" s="21" t="str">
        <f t="shared" si="3"/>
        <v>OK</v>
      </c>
      <c r="N11" s="10"/>
      <c r="O11" s="1"/>
      <c r="P11" s="1"/>
    </row>
    <row r="12" spans="1:16" ht="14.4">
      <c r="A12" s="5" t="str">
        <f>'Sales Data'!A10</f>
        <v>SO-1009</v>
      </c>
      <c r="B12" s="7">
        <f>'Sales Data'!B10</f>
        <v>46045</v>
      </c>
      <c r="C12" s="1" t="str">
        <f>'Sales Data'!C10</f>
        <v>East</v>
      </c>
      <c r="D12" s="1" t="str">
        <f>'Sales Data'!D10</f>
        <v>A. Patel</v>
      </c>
      <c r="E12" s="1" t="str">
        <f>'Sales Data'!E10</f>
        <v>USB-C Hub</v>
      </c>
      <c r="F12" s="1">
        <f>'Sales Data'!G10</f>
        <v>30</v>
      </c>
      <c r="G12" s="8">
        <f>'Sales Data'!H10</f>
        <v>83</v>
      </c>
      <c r="H12" s="8">
        <f>'Sales Data'!I10</f>
        <v>39</v>
      </c>
      <c r="I12" s="19" t="str">
        <f>_xlfn.XLOOKUP(E12,ProductLookupTable[Product],ProductLookupTable[Category])</f>
        <v>Connectivity</v>
      </c>
      <c r="J12" s="20">
        <f t="shared" si="0"/>
        <v>2490</v>
      </c>
      <c r="K12" s="20">
        <f t="shared" si="1"/>
        <v>1320</v>
      </c>
      <c r="L12" s="21">
        <f t="shared" si="2"/>
        <v>0.53012048192771088</v>
      </c>
      <c r="M12" s="21" t="str">
        <f t="shared" si="3"/>
        <v>OK</v>
      </c>
      <c r="N12" s="10"/>
      <c r="O12" s="1"/>
      <c r="P12" s="1"/>
    </row>
    <row r="13" spans="1:16" ht="14.4">
      <c r="A13" s="5" t="str">
        <f>'Sales Data'!A11</f>
        <v>SO-1010</v>
      </c>
      <c r="B13" s="7">
        <f>'Sales Data'!B11</f>
        <v>46047</v>
      </c>
      <c r="C13" s="1" t="str">
        <f>'Sales Data'!C11</f>
        <v>West</v>
      </c>
      <c r="D13" s="1" t="str">
        <f>'Sales Data'!D11</f>
        <v>M. Chen</v>
      </c>
      <c r="E13" s="1" t="str">
        <f>'Sales Data'!E11</f>
        <v>Monitor Arm</v>
      </c>
      <c r="F13" s="1">
        <f>'Sales Data'!G11</f>
        <v>10</v>
      </c>
      <c r="G13" s="8">
        <f>'Sales Data'!H11</f>
        <v>59</v>
      </c>
      <c r="H13" s="8">
        <f>'Sales Data'!I11</f>
        <v>68</v>
      </c>
      <c r="I13" s="19" t="str">
        <f>_xlfn.XLOOKUP(E13,ProductLookupTable[Product],ProductLookupTable[Category])</f>
        <v>Furniture</v>
      </c>
      <c r="J13" s="20">
        <f t="shared" si="0"/>
        <v>590</v>
      </c>
      <c r="K13" s="20">
        <f t="shared" si="1"/>
        <v>-90</v>
      </c>
      <c r="L13" s="21">
        <f t="shared" si="2"/>
        <v>-0.15254237288135594</v>
      </c>
      <c r="M13" s="21" t="str">
        <f t="shared" si="3"/>
        <v>Review</v>
      </c>
      <c r="N13" s="10"/>
      <c r="O13" s="1"/>
      <c r="P13" s="1"/>
    </row>
    <row r="14" spans="1:16" ht="14.4">
      <c r="A14" s="5" t="str">
        <f>'Sales Data'!A12</f>
        <v>SO-1011</v>
      </c>
      <c r="B14" s="7">
        <f>'Sales Data'!B12</f>
        <v>46049</v>
      </c>
      <c r="C14" s="1" t="str">
        <f>'Sales Data'!C12</f>
        <v>South</v>
      </c>
      <c r="D14" s="1" t="str">
        <f>'Sales Data'!D12</f>
        <v>J. Rivera</v>
      </c>
      <c r="E14" s="1" t="str">
        <f>'Sales Data'!E12</f>
        <v>Laptop Stand</v>
      </c>
      <c r="F14" s="1">
        <f>'Sales Data'!G12</f>
        <v>25</v>
      </c>
      <c r="G14" s="8">
        <f>'Sales Data'!H12</f>
        <v>81</v>
      </c>
      <c r="H14" s="8">
        <f>'Sales Data'!I12</f>
        <v>24</v>
      </c>
      <c r="I14" s="19" t="str">
        <f>_xlfn.XLOOKUP(E14,ProductLookupTable[Product],ProductLookupTable[Category])</f>
        <v>Accessories</v>
      </c>
      <c r="J14" s="20">
        <f t="shared" si="0"/>
        <v>2025</v>
      </c>
      <c r="K14" s="20">
        <f t="shared" si="1"/>
        <v>1425</v>
      </c>
      <c r="L14" s="21">
        <f t="shared" si="2"/>
        <v>0.70370370370370372</v>
      </c>
      <c r="M14" s="21" t="str">
        <f t="shared" si="3"/>
        <v>OK</v>
      </c>
      <c r="N14" s="10"/>
      <c r="O14" s="1"/>
      <c r="P14" s="1"/>
    </row>
    <row r="15" spans="1:16" ht="14.4">
      <c r="A15" s="11" t="str">
        <f>'Sales Data'!A13</f>
        <v>SO-1012</v>
      </c>
      <c r="B15" s="14">
        <f>'Sales Data'!B13</f>
        <v>46052</v>
      </c>
      <c r="C15" s="12" t="str">
        <f>'Sales Data'!C13</f>
        <v>North</v>
      </c>
      <c r="D15" s="12" t="str">
        <f>'Sales Data'!D13</f>
        <v>S. Brooks</v>
      </c>
      <c r="E15" s="12" t="str">
        <f>'Sales Data'!E13</f>
        <v>Webcam</v>
      </c>
      <c r="F15" s="12">
        <f>'Sales Data'!G13</f>
        <v>14</v>
      </c>
      <c r="G15" s="15">
        <f>'Sales Data'!H13</f>
        <v>64</v>
      </c>
      <c r="H15" s="15">
        <f>'Sales Data'!I13</f>
        <v>51</v>
      </c>
      <c r="I15" s="19" t="str">
        <f>_xlfn.XLOOKUP(E15,ProductLookupTable[Product],ProductLookupTable[Category])</f>
        <v>Video</v>
      </c>
      <c r="J15" s="20">
        <f t="shared" si="0"/>
        <v>896</v>
      </c>
      <c r="K15" s="20">
        <f t="shared" si="1"/>
        <v>182</v>
      </c>
      <c r="L15" s="21">
        <f t="shared" si="2"/>
        <v>0.203125</v>
      </c>
      <c r="M15" s="21" t="str">
        <f t="shared" si="3"/>
        <v>OK</v>
      </c>
      <c r="N15" s="13"/>
      <c r="O15" s="1"/>
      <c r="P15" s="1"/>
    </row>
    <row r="16" spans="1:16" ht="14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14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14.4">
      <c r="A18" s="3" t="s">
        <v>70</v>
      </c>
      <c r="B18" s="4" t="s">
        <v>59</v>
      </c>
      <c r="C18" s="4" t="s">
        <v>60</v>
      </c>
      <c r="D18" s="4" t="s">
        <v>71</v>
      </c>
      <c r="E18" s="9" t="s">
        <v>72</v>
      </c>
      <c r="F18" s="1"/>
      <c r="G18" s="1"/>
      <c r="H18" s="4" t="s">
        <v>75</v>
      </c>
      <c r="I18" s="4" t="s">
        <v>82</v>
      </c>
      <c r="J18" s="1"/>
      <c r="K18" s="1"/>
      <c r="L18" s="1"/>
      <c r="M18" s="1"/>
      <c r="N18" s="1"/>
      <c r="O18" s="1"/>
      <c r="P18" s="1"/>
    </row>
    <row r="19" spans="1:16" ht="14.4">
      <c r="A19" s="5" t="s">
        <v>29</v>
      </c>
      <c r="B19" s="16">
        <f>SUMIF($C$4:$C$15,A19,$J$4:$J$15)</f>
        <v>5556</v>
      </c>
      <c r="C19" s="16">
        <f>SUMIF($C$4:$C$15,A19,$K$4:$K$15)</f>
        <v>3079</v>
      </c>
      <c r="D19" s="18">
        <f>AVERAGEIF($C$4:$C$15,A19,$L$4:$L$15)</f>
        <v>0.56586627896868869</v>
      </c>
      <c r="E19" s="10">
        <f>COUNTIFS($C$4:$C$15,A19,$M$4:$M$15,"Review")</f>
        <v>0</v>
      </c>
      <c r="F19" s="1"/>
      <c r="G19" s="1"/>
      <c r="H19" s="31" t="s">
        <v>83</v>
      </c>
      <c r="I19" s="1" t="str">
        <f>_xlfn.XLOOKUP(MAX($B$19:$B$22),$B$19:$B$22,$A$19:$A$22)</f>
        <v>North</v>
      </c>
      <c r="J19" s="1"/>
      <c r="K19" s="1"/>
      <c r="L19" s="1"/>
      <c r="M19" s="1"/>
      <c r="N19" s="1"/>
      <c r="O19" s="1"/>
      <c r="P19" s="1"/>
    </row>
    <row r="20" spans="1:16" ht="14.4">
      <c r="A20" s="5" t="s">
        <v>42</v>
      </c>
      <c r="B20" s="16">
        <f>SUMIF($C$4:$C$15,A20,$J$4:$J$15)</f>
        <v>8619</v>
      </c>
      <c r="C20" s="16">
        <f>SUMIF($C$4:$C$15,A20,$K$4:$K$15)</f>
        <v>6264</v>
      </c>
      <c r="D20" s="18">
        <f>AVERAGEIF($C$4:$C$15,A20,$L$4:$L$15)</f>
        <v>3.0114348370927302E-2</v>
      </c>
      <c r="E20" s="10">
        <f>COUNTIFS($C$4:$C$15,A20,$M$4:$M$15,"Review")</f>
        <v>1</v>
      </c>
      <c r="F20" s="1"/>
      <c r="G20" s="1"/>
      <c r="H20" s="31" t="s">
        <v>84</v>
      </c>
      <c r="I20" s="1" t="str">
        <f>_xlfn.XLOOKUP(
MAX($D$19:$D$22),$D$19:$D$22,$A$19:$A$22)</f>
        <v>East</v>
      </c>
      <c r="J20" s="1"/>
      <c r="K20" s="1"/>
      <c r="L20" s="1"/>
      <c r="M20" s="1"/>
      <c r="N20" s="1"/>
      <c r="O20" s="1"/>
      <c r="P20" s="1"/>
    </row>
    <row r="21" spans="1:16" ht="14.4">
      <c r="A21" s="5" t="s">
        <v>37</v>
      </c>
      <c r="B21" s="16">
        <f>SUMIF($C$4:$C$15,A21,$J$4:$J$15)</f>
        <v>5575</v>
      </c>
      <c r="C21" s="16">
        <f>SUMIF($C$4:$C$15,A21,$K$4:$K$15)</f>
        <v>3173</v>
      </c>
      <c r="D21" s="18">
        <f>AVERAGEIF($C$4:$C$15,A21,$L$4:$L$15)</f>
        <v>0.49045097174269664</v>
      </c>
      <c r="E21" s="10">
        <f>COUNTIFS($C$4:$C$15,A21,$M$4:$M$15,"Review")</f>
        <v>1</v>
      </c>
      <c r="F21" s="1"/>
      <c r="G21" s="1"/>
      <c r="H21" s="11" t="s">
        <v>76</v>
      </c>
      <c r="I21" s="1">
        <f>SUM(E19:E22)</f>
        <v>3</v>
      </c>
      <c r="J21" s="1"/>
      <c r="K21" s="1"/>
      <c r="L21" s="1"/>
      <c r="M21" s="1"/>
      <c r="N21" s="1"/>
      <c r="O21" s="1"/>
      <c r="P21" s="1"/>
    </row>
    <row r="22" spans="1:16" ht="14.4">
      <c r="A22" s="5" t="s">
        <v>73</v>
      </c>
      <c r="B22" s="16">
        <f>SUMIF($C$4:$C$15,A22,$J$4:$J$15)</f>
        <v>4135</v>
      </c>
      <c r="C22" s="16">
        <f>SUMIF($C$4:$C$15,A22,$K$4:$K$15)</f>
        <v>2090</v>
      </c>
      <c r="D22" s="18">
        <f>AVERAGEIF($C$4:$C$15,A22,$L$4:$L$15)</f>
        <v>0.358314335745201</v>
      </c>
      <c r="E22" s="10">
        <f>COUNTIFS($C$4:$C$15,A22,$M$4:$M$15,"Review")</f>
        <v>1</v>
      </c>
      <c r="F22" s="1"/>
      <c r="G22" s="1"/>
      <c r="H22" s="31" t="s">
        <v>85</v>
      </c>
      <c r="I22" s="18">
        <f>MAX(D19:D22)</f>
        <v>0.56586627896868869</v>
      </c>
      <c r="J22" s="1"/>
      <c r="K22" s="1"/>
      <c r="L22" s="1"/>
      <c r="M22" s="1"/>
      <c r="N22" s="1"/>
      <c r="O22" s="1"/>
      <c r="P22" s="1"/>
    </row>
    <row r="23" spans="1:16" ht="1.2" customHeight="1">
      <c r="A23" s="5"/>
      <c r="B23" s="16"/>
      <c r="C23" s="16"/>
      <c r="D23" s="18"/>
      <c r="E23" s="10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ht="14.4">
      <c r="A24" s="11" t="s">
        <v>74</v>
      </c>
      <c r="B24" s="16">
        <f>SUM(B19:B22)</f>
        <v>23885</v>
      </c>
      <c r="C24" s="17">
        <f>SUM(C19:C22)</f>
        <v>14606</v>
      </c>
      <c r="D24" s="18">
        <f>AVERAGE($D$19:$D$22)</f>
        <v>0.36118648370687839</v>
      </c>
      <c r="E24" s="10">
        <f>SUM(E19:E22)</f>
        <v>3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</sheetData>
  <mergeCells count="1">
    <mergeCell ref="A1:L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Business Problem</vt:lpstr>
      <vt:lpstr>Sales Data</vt:lpstr>
      <vt:lpstr>Exercise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2026-08-15T17:04:25Z</dcterms:created>
  <dcterms:modified xsi:type="dcterms:W3CDTF">2026-08-15T17:04:25Z</dcterms:modified>
</cp:coreProperties>
</file>